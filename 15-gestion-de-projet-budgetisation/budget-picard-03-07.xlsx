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JM" sheetId="2" state="visible" r:id="rId4"/>
    <sheet name="03" sheetId="3" state="visible" r:id="rId5"/>
    <sheet name="07" sheetId="4" state="visible" r:id="rId6"/>
    <sheet name="Transverse" sheetId="5" state="visible" r:id="rId7"/>
    <sheet name="Plann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<sst xmlns="http://schemas.openxmlformats.org/spreadsheetml/2006/main" count="366" uniqueCount="162">
  <si>
    <t xml:space="preserve">Budget interne, pas un devis. Marge commerciale non incluse.</t>
  </si>
  <si>
    <t xml:space="preserve">Poste</t>
  </si>
  <si>
    <t xml:space="preserve">Sous-total HT (€)</t>
  </si>
  <si>
    <t xml:space="preserve">Contingence</t>
  </si>
  <si>
    <t xml:space="preserve">Montant contingence (€)</t>
  </si>
  <si>
    <t xml:space="preserve">Total HT (€)</t>
  </si>
  <si>
    <t xml:space="preserve">Projet 03</t>
  </si>
  <si>
    <t xml:space="preserve">Projet 07</t>
  </si>
  <si>
    <t xml:space="preserve">Transverse</t>
  </si>
  <si>
    <t xml:space="preserve">Total HT</t>
  </si>
  <si>
    <t xml:space="preserve">TVA 20 %</t>
  </si>
  <si>
    <t xml:space="preserve">Total TTC</t>
  </si>
  <si>
    <t xml:space="preserve">Jours-homme</t>
  </si>
  <si>
    <t xml:space="preserve">Transverse (j.h seulement)</t>
  </si>
  <si>
    <t xml:space="preserve">Total</t>
  </si>
  <si>
    <t xml:space="preserve">TJM retenus (€ HT par jour). Cellules bleues = valeurs saisies, à modifier ici.</t>
  </si>
  <si>
    <t xml:space="preserve">Rôle</t>
  </si>
  <si>
    <t xml:space="preserve">TJM (€)</t>
  </si>
  <si>
    <t xml:space="preserve">Source</t>
  </si>
  <si>
    <t xml:space="preserve">Chef de projet</t>
  </si>
  <si>
    <t xml:space="preserve">Silkhom 2025 CDP confirmé 600-700, TJMètre 2026 médian 600</t>
  </si>
  <si>
    <t xml:space="preserve">UX/UI</t>
  </si>
  <si>
    <t xml:space="preserve">Silkhom 2025 UX/UI confirmé 430-530, freelance-informatique 3-4 ans 446-502</t>
  </si>
  <si>
    <t xml:space="preserve">Dev front</t>
  </si>
  <si>
    <t xml:space="preserve">Silkhom 2025 front JS confirmé 400-500</t>
  </si>
  <si>
    <t xml:space="preserve">Dev back</t>
  </si>
  <si>
    <t xml:space="preserve">Malt 2026 Symfony 3-7 ans 401, 8-15 ans 523</t>
  </si>
  <si>
    <t xml:space="preserve">Dev</t>
  </si>
  <si>
    <t xml:space="preserve">même base que dev front / back</t>
  </si>
  <si>
    <t xml:space="preserve">QA</t>
  </si>
  <si>
    <t xml:space="preserve">Silkhom 2025 testeur QA confirmé 450-550</t>
  </si>
  <si>
    <t xml:space="preserve">DevOps</t>
  </si>
  <si>
    <t xml:space="preserve">Silkhom 2025 DevOps confirmé 500-550, TJMètre 600</t>
  </si>
  <si>
    <t xml:space="preserve">Consultant RGPD</t>
  </si>
  <si>
    <t xml:space="preserve">Free-Work 665 en direct, donneespersonnelles.fr 800-1200</t>
  </si>
  <si>
    <t xml:space="preserve">Contingence 03</t>
  </si>
  <si>
    <t xml:space="preserve">Contingence 07</t>
  </si>
  <si>
    <t xml:space="preserve">Contingence Transverse</t>
  </si>
  <si>
    <t xml:space="preserve">TVA</t>
  </si>
  <si>
    <t xml:space="preserve">Projet 03, grille de coûts par lot. Charge en jours-homme, tâche de 7 j max.</t>
  </si>
  <si>
    <t xml:space="preserve">Lot</t>
  </si>
  <si>
    <t xml:space="preserve">Tâche</t>
  </si>
  <si>
    <t xml:space="preserve">Charge (j.h)</t>
  </si>
  <si>
    <t xml:space="preserve">Sous-total (€ HT)</t>
  </si>
  <si>
    <t xml:space="preserve">Cadrage</t>
  </si>
  <si>
    <t xml:space="preserve">Atelier de lancement avec Picard</t>
  </si>
  <si>
    <t xml:space="preserve">Spécification courte et backlog</t>
  </si>
  <si>
    <t xml:space="preserve">Choix techniques et squelette de projet</t>
  </si>
  <si>
    <t xml:space="preserve">Parcours et wireframes</t>
  </si>
  <si>
    <t xml:space="preserve">Maquettes des écrans (liste, fiche, formulaire)</t>
  </si>
  <si>
    <t xml:space="preserve">Front TypeScript</t>
  </si>
  <si>
    <t xml:space="preserve">Interfaces et types produit</t>
  </si>
  <si>
    <t xml:space="preserve">Ajout et suppression de produit</t>
  </si>
  <si>
    <t xml:space="preserve">Gestion des quantités et de la disponibilité</t>
  </si>
  <si>
    <t xml:space="preserve">Liste, tri et filtres</t>
  </si>
  <si>
    <t xml:space="preserve">Validation des saisies</t>
  </si>
  <si>
    <t xml:space="preserve">Illustration et stockage local</t>
  </si>
  <si>
    <t xml:space="preserve">Intégration des maquettes (Bootstrap)</t>
  </si>
  <si>
    <t xml:space="preserve">Recette</t>
  </si>
  <si>
    <t xml:space="preserve">Plan de test</t>
  </si>
  <si>
    <t xml:space="preserve">Campagne de test</t>
  </si>
  <si>
    <t xml:space="preserve">Corrections</t>
  </si>
  <si>
    <t xml:space="preserve">Mise en prod</t>
  </si>
  <si>
    <t xml:space="preserve">Build et déploiement statique</t>
  </si>
  <si>
    <t xml:space="preserve">Documentation et passation</t>
  </si>
  <si>
    <t xml:space="preserve">Sous-totaux par lot</t>
  </si>
  <si>
    <t xml:space="preserve">Total avant contingence</t>
  </si>
  <si>
    <t xml:space="preserve">Contrôle sous-totaux (doit être 0)</t>
  </si>
  <si>
    <t xml:space="preserve">Total HT avec contingence</t>
  </si>
  <si>
    <t xml:space="preserve">Tâche la plus longue (j.h)</t>
  </si>
  <si>
    <t xml:space="preserve">Projet 07, grille de coûts par lot. Charge en jours-homme, tâche de 7 j max.</t>
  </si>
  <si>
    <t xml:space="preserve">Spécification fonctionnelle</t>
  </si>
  <si>
    <t xml:space="preserve">Règles de paiement et de fidélité avec Picard</t>
  </si>
  <si>
    <t xml:space="preserve">Backlog et découpage en sprints</t>
  </si>
  <si>
    <t xml:space="preserve">Parcours utilisateur (borne et téléphone)</t>
  </si>
  <si>
    <t xml:space="preserve">Maquettes catalogue et commande</t>
  </si>
  <si>
    <t xml:space="preserve">Maquettes paiement, compte et historique</t>
  </si>
  <si>
    <t xml:space="preserve">Mini design system</t>
  </si>
  <si>
    <t xml:space="preserve">Back Symfony</t>
  </si>
  <si>
    <t xml:space="preserve">Setup projet, Docker, authentification JWT</t>
  </si>
  <si>
    <t xml:space="preserve">Modèle de données et migrations</t>
  </si>
  <si>
    <t xml:space="preserve">API produits</t>
  </si>
  <si>
    <t xml:space="preserve">API commande et calcul du total</t>
  </si>
  <si>
    <t xml:space="preserve">Validation carte côté serveur (Luhn, expiration)</t>
  </si>
  <si>
    <t xml:space="preserve">API compte fidélité et points</t>
  </si>
  <si>
    <t xml:space="preserve">API historique des commandes</t>
  </si>
  <si>
    <t xml:space="preserve">Seeders et jeu de données</t>
  </si>
  <si>
    <t xml:space="preserve">Tests automatisés</t>
  </si>
  <si>
    <t xml:space="preserve">Front React</t>
  </si>
  <si>
    <t xml:space="preserve">Setup, routing, gestion d'état</t>
  </si>
  <si>
    <t xml:space="preserve">Catalogue produits</t>
  </si>
  <si>
    <t xml:space="preserve">Panier et tunnel de commande</t>
  </si>
  <si>
    <t xml:space="preserve">Formulaire de paiement et validation carte</t>
  </si>
  <si>
    <t xml:space="preserve">Inscription, connexion, compte fidélité</t>
  </si>
  <si>
    <t xml:space="preserve">Historique des commandes</t>
  </si>
  <si>
    <t xml:space="preserve">Intégration des maquettes</t>
  </si>
  <si>
    <t xml:space="preserve">Intégration front/back</t>
  </si>
  <si>
    <t xml:space="preserve">Contrat d'API (OpenAPI) et mocks</t>
  </si>
  <si>
    <t xml:space="preserve">Branchement des écrans, CORS, tokens</t>
  </si>
  <si>
    <t xml:space="preserve">Corrections croisées et cas limites</t>
  </si>
  <si>
    <t xml:space="preserve">RGPD</t>
  </si>
  <si>
    <t xml:space="preserve">Registre, mentions, politique courte</t>
  </si>
  <si>
    <t xml:space="preserve">Suppression de compte, consentement, durées</t>
  </si>
  <si>
    <t xml:space="preserve">Plan de test et jeux de données</t>
  </si>
  <si>
    <t xml:space="preserve">Campagnes de test (deux passes)</t>
  </si>
  <si>
    <t xml:space="preserve">Recette utilisateur avec Picard</t>
  </si>
  <si>
    <t xml:space="preserve">Déploiement</t>
  </si>
  <si>
    <t xml:space="preserve">Serveur, Docker, base, HTTPS</t>
  </si>
  <si>
    <t xml:space="preserve">CI et mise en prod</t>
  </si>
  <si>
    <t xml:space="preserve">Documentation technique</t>
  </si>
  <si>
    <t xml:space="preserve">Postes transverses aux deux projets. Prix hébergement HT (OVHcloud page VPS, sept. 2026), Figma 16 $ pris à 15 €.</t>
  </si>
  <si>
    <t xml:space="preserve">Quantité</t>
  </si>
  <si>
    <t xml:space="preserve">Unité</t>
  </si>
  <si>
    <t xml:space="preserve">Rôle ou fournisseur</t>
  </si>
  <si>
    <t xml:space="preserve">Prix unitaire (€)</t>
  </si>
  <si>
    <t xml:space="preserve">Pilotage</t>
  </si>
  <si>
    <t xml:space="preserve">Suivi hebdo projet 03 (0,5 j sur 6 semaines)</t>
  </si>
  <si>
    <t xml:space="preserve">j.h</t>
  </si>
  <si>
    <t xml:space="preserve">Suivi hebdo projet 07 (0,5 j sur 14 semaines)</t>
  </si>
  <si>
    <t xml:space="preserve">Hébergement et outils</t>
  </si>
  <si>
    <t xml:space="preserve">VPS-2 OVHcloud, production</t>
  </si>
  <si>
    <t xml:space="preserve">mois</t>
  </si>
  <si>
    <t xml:space="preserve">OVHcloud</t>
  </si>
  <si>
    <t xml:space="preserve">VPS-1 OVHcloud, staging</t>
  </si>
  <si>
    <t xml:space="preserve">Figma Professional, 1 siège</t>
  </si>
  <si>
    <t xml:space="preserve">Figma</t>
  </si>
  <si>
    <t xml:space="preserve">Formation</t>
  </si>
  <si>
    <t xml:space="preserve">Support de formation</t>
  </si>
  <si>
    <t xml:space="preserve">Session gestion des stocks (outil 03)</t>
  </si>
  <si>
    <t xml:space="preserve">Session commandes et fidélité (outil 07)</t>
  </si>
  <si>
    <t xml:space="preserve">Maintenance an 1</t>
  </si>
  <si>
    <t xml:space="preserve">Correctifs projet 03 (0,25 j par mois)</t>
  </si>
  <si>
    <t xml:space="preserve">Correctifs projet 07, mois 1 à 6</t>
  </si>
  <si>
    <t xml:space="preserve">Correctifs projet 07, mois 7 à 12</t>
  </si>
  <si>
    <t xml:space="preserve">Mises à jour sécurité et dépendances</t>
  </si>
  <si>
    <t xml:space="preserve">Planning indicatif sur 14 semaines. Une cellule colorée = le lot est actif cette semaine. J = jalon.</t>
  </si>
  <si>
    <t xml:space="preserve">Projet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</si>
  <si>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</si>
  <si>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</si>
  <si>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</si>
  <si>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</si>
  <si>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</si>
  <si>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</si>
  <si>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</si>
  <si>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</si>
  <si>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</si>
  <si>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</si>
  <si>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</si>
  <si>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</si>
  <si>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</si>
  <si>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</si>
  <si>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03</t>
  </si>
  <si>
    <t xml:space="preserve">07</t>
  </si>
  <si>
    <t xml:space="preserve">Jalons</t>
  </si>
  <si>
    <t xml:space="preserve">Kick-off</t>
  </si>
  <si>
    <t xml:space="preserve">J</t>
  </si>
  <si>
    <t xml:space="preserve">Validation des maquettes 03</t>
  </si>
  <si>
    <t xml:space="preserve">Validation des maquettes 07</t>
  </si>
  <si>
    <t xml:space="preserve">Mise en prod du 03</t>
  </si>
  <si>
    <t xml:space="preserve">PV de recette du 07</t>
  </si>
  <si>
    <t xml:space="preserve">Mise en prod du 07 et formation</t>
  </si>
  <si>
    <t xml:space="preserve">Dépendances : UX avant front, back avant intégration, intégration avant recette, recette avant prod.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</si>
</sst>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9BC2E6"/>
        <bgColor rgb="FFA9D18E"/>
      </patternFill>
    </fill>
    <fill>
      <patternFill patternType="solid">
        <fgColor rgb="FFA9D18E"/>
        <bgColor rgb="FF9BC2E6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f aca="false">'03'!F28</f>
        <v>12250</v>
      </c>
      <c r="C4" s="5" t="n">
        <f aca="false">TJM!B14</f>
        <v>0.08</v>
      </c>
      <c r="D4" s="4" t="n">
        <f aca="false">'03'!F30</f>
        <v>980</v>
      </c>
      <c r="E4" s="6" t="n">
        <f aca="false">B4+D4</f>
        <v>13230</v>
      </c>
    </row>
    <row r="5" customFormat="false" ht="15" hidden="false" customHeight="false" outlineLevel="0" collapsed="false">
      <c r="A5" s="3" t="s">
        <v>7</v>
      </c>
      <c r="B5" s="4" t="n">
        <f aca="false">'07'!F50</f>
        <v>39550</v>
      </c>
      <c r="C5" s="5" t="n">
        <f aca="false">TJM!B15</f>
        <v>0.15</v>
      </c>
      <c r="D5" s="4" t="n">
        <f aca="false">'07'!F52</f>
        <v>5932.5</v>
      </c>
      <c r="E5" s="6" t="n">
        <f aca="false">B5+D5</f>
        <v>45482.5</v>
      </c>
    </row>
    <row r="6" customFormat="false" ht="15" hidden="false" customHeight="false" outlineLevel="0" collapsed="false">
      <c r="A6" s="3" t="s">
        <v>8</v>
      </c>
      <c r="B6" s="4" t="n">
        <f aca="false">Transverse!G17</f>
        <v>13892.24</v>
      </c>
      <c r="C6" s="5" t="n">
        <f aca="false">TJM!B16</f>
        <v>0.05</v>
      </c>
      <c r="D6" s="4" t="n">
        <f aca="false">Transverse!G18</f>
        <v>694.612</v>
      </c>
      <c r="E6" s="6" t="n">
        <f aca="false">B6+D6</f>
        <v>14586.852</v>
      </c>
    </row>
    <row r="7" customFormat="false" ht="15" hidden="false" customHeight="false" outlineLevel="0" collapsed="false">
      <c r="A7" s="7" t="s">
        <v>9</v>
      </c>
      <c r="B7" s="8" t="n">
        <f aca="false">SUM(B4:B6)</f>
        <v>65692.24</v>
      </c>
      <c r="C7" s="7"/>
      <c r="D7" s="8" t="n">
        <f aca="false">SUM(D4:D6)</f>
        <v>7607.112</v>
      </c>
      <c r="E7" s="8" t="n">
        <f aca="false">SUM(E4:E6)</f>
        <v>73299.352</v>
      </c>
    </row>
    <row r="8" customFormat="false" ht="15" hidden="false" customHeight="false" outlineLevel="0" collapsed="false">
      <c r="A8" s="3" t="s">
        <v>10</v>
      </c>
      <c r="B8" s="3"/>
      <c r="C8" s="3"/>
      <c r="D8" s="3"/>
      <c r="E8" s="6" t="n">
        <f aca="false">E7*TJM!B17</f>
        <v>14659.8704</v>
      </c>
    </row>
    <row r="9" customFormat="false" ht="15" hidden="false" customHeight="false" outlineLevel="0" collapsed="false">
      <c r="A9" s="7" t="s">
        <v>11</v>
      </c>
      <c r="B9" s="7"/>
      <c r="C9" s="7"/>
      <c r="D9" s="7"/>
      <c r="E9" s="8" t="n">
        <f aca="false">E7+E8</f>
        <v>87959.2224</v>
      </c>
    </row>
    <row r="11" customFormat="false" ht="15" hidden="false" customHeight="false" outlineLevel="0" collapsed="false">
      <c r="A11" s="9" t="s">
        <v>12</v>
      </c>
      <c r="B11" s="9" t="s">
        <v>6</v>
      </c>
      <c r="C11" s="9" t="n">
        <f aca="false">'03'!C28</f>
        <v>26</v>
      </c>
    </row>
    <row r="12" customFormat="false" ht="15" hidden="false" customHeight="false" outlineLevel="0" collapsed="false">
      <c r="A12" s="9"/>
      <c r="B12" s="9" t="s">
        <v>7</v>
      </c>
      <c r="C12" s="9" t="n">
        <f aca="false">'07'!C50</f>
        <v>83</v>
      </c>
    </row>
    <row r="13" customFormat="false" ht="15" hidden="false" customHeight="false" outlineLevel="0" collapsed="false">
      <c r="A13" s="9"/>
      <c r="B13" s="9" t="s">
        <v>13</v>
      </c>
      <c r="C13" s="9" t="n">
        <f aca="false">SUMIF(Transverse!D4:D15,"j.h",Transverse!C4:C15)</f>
        <v>26</v>
      </c>
    </row>
    <row r="14" customFormat="false" ht="15" hidden="false" customHeight="false" outlineLevel="0" collapsed="false">
      <c r="A14" s="9"/>
      <c r="B14" s="9" t="s">
        <v>14</v>
      </c>
      <c r="C14" s="1" t="n">
        <f aca="false">SUM(C11:C13)</f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</row>
    <row r="4" customFormat="false" ht="15" hidden="false" customHeight="false" outlineLevel="0" collapsed="false">
      <c r="A4" s="3" t="s">
        <v>19</v>
      </c>
      <c r="B4" s="10" t="n">
        <v>600</v>
      </c>
      <c r="C4" s="3" t="s">
        <v>20</v>
      </c>
    </row>
    <row r="5" customFormat="false" ht="15" hidden="false" customHeight="false" outlineLevel="0" collapsed="false">
      <c r="A5" s="3" t="s">
        <v>21</v>
      </c>
      <c r="B5" s="10" t="n">
        <v>450</v>
      </c>
      <c r="C5" s="3" t="s">
        <v>22</v>
      </c>
    </row>
    <row r="6" customFormat="false" ht="15" hidden="false" customHeight="false" outlineLevel="0" collapsed="false">
      <c r="A6" s="3" t="s">
        <v>23</v>
      </c>
      <c r="B6" s="10" t="n">
        <v>450</v>
      </c>
      <c r="C6" s="3" t="s">
        <v>24</v>
      </c>
    </row>
    <row r="7" customFormat="false" ht="15" hidden="false" customHeight="false" outlineLevel="0" collapsed="false">
      <c r="A7" s="3" t="s">
        <v>25</v>
      </c>
      <c r="B7" s="10" t="n">
        <v>450</v>
      </c>
      <c r="C7" s="3" t="s">
        <v>26</v>
      </c>
    </row>
    <row r="8" customFormat="false" ht="15" hidden="false" customHeight="false" outlineLevel="0" collapsed="false">
      <c r="A8" s="3" t="s">
        <v>27</v>
      </c>
      <c r="B8" s="10" t="n">
        <v>450</v>
      </c>
      <c r="C8" s="3" t="s">
        <v>28</v>
      </c>
    </row>
    <row r="9" customFormat="false" ht="15" hidden="false" customHeight="false" outlineLevel="0" collapsed="false">
      <c r="A9" s="3" t="s">
        <v>29</v>
      </c>
      <c r="B9" s="10" t="n">
        <v>450</v>
      </c>
      <c r="C9" s="3" t="s">
        <v>30</v>
      </c>
    </row>
    <row r="10" customFormat="false" ht="15" hidden="false" customHeight="false" outlineLevel="0" collapsed="false">
      <c r="A10" s="3" t="s">
        <v>31</v>
      </c>
      <c r="B10" s="10" t="n">
        <v>550</v>
      </c>
      <c r="C10" s="3" t="s">
        <v>32</v>
      </c>
    </row>
    <row r="11" customFormat="false" ht="15" hidden="false" customHeight="false" outlineLevel="0" collapsed="false">
      <c r="A11" s="3" t="s">
        <v>33</v>
      </c>
      <c r="B11" s="10" t="n">
        <v>700</v>
      </c>
      <c r="C11" s="3" t="s">
        <v>34</v>
      </c>
    </row>
    <row r="13" customFormat="false" ht="15" hidden="false" customHeight="false" outlineLevel="0" collapsed="false">
      <c r="A13" s="1" t="s">
        <v>3</v>
      </c>
    </row>
    <row r="14" customFormat="false" ht="15" hidden="false" customHeight="false" outlineLevel="0" collapsed="false">
      <c r="A14" s="3" t="s">
        <v>35</v>
      </c>
      <c r="B14" s="11" t="n">
        <v>0.08</v>
      </c>
    </row>
    <row r="15" customFormat="false" ht="15" hidden="false" customHeight="false" outlineLevel="0" collapsed="false">
      <c r="A15" s="3" t="s">
        <v>36</v>
      </c>
      <c r="B15" s="11" t="n">
        <v>0.15</v>
      </c>
    </row>
    <row r="16" customFormat="false" ht="15" hidden="false" customHeight="false" outlineLevel="0" collapsed="false">
      <c r="A16" s="3" t="s">
        <v>37</v>
      </c>
      <c r="B16" s="11" t="n">
        <v>0.05</v>
      </c>
    </row>
    <row r="17" customFormat="false" ht="15" hidden="false" customHeight="false" outlineLevel="0" collapsed="false">
      <c r="A17" s="3" t="s">
        <v>38</v>
      </c>
      <c r="B17" s="11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16</v>
      </c>
      <c r="E3" s="2" t="s">
        <v>17</v>
      </c>
      <c r="F3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12" t="n">
        <v>1</v>
      </c>
      <c r="D4" s="3" t="s">
        <v>19</v>
      </c>
      <c r="E4" s="4" t="n">
        <f aca="false">TJM!$B$4</f>
        <v>600</v>
      </c>
      <c r="F4" s="6" t="n">
        <f aca="false">C4*E4</f>
        <v>600</v>
      </c>
    </row>
    <row r="5" customFormat="false" ht="15" hidden="false" customHeight="false" outlineLevel="0" collapsed="false">
      <c r="A5" s="3" t="s">
        <v>44</v>
      </c>
      <c r="B5" s="3" t="s">
        <v>46</v>
      </c>
      <c r="C5" s="12" t="n">
        <v>2</v>
      </c>
      <c r="D5" s="3" t="s">
        <v>19</v>
      </c>
      <c r="E5" s="4" t="n">
        <f aca="false">TJM!$B$4</f>
        <v>600</v>
      </c>
      <c r="F5" s="6" t="n">
        <f aca="false">C5*E5</f>
        <v>1200</v>
      </c>
    </row>
    <row r="6" customFormat="false" ht="15" hidden="false" customHeight="false" outlineLevel="0" collapsed="false">
      <c r="A6" s="3" t="s">
        <v>44</v>
      </c>
      <c r="B6" s="3" t="s">
        <v>47</v>
      </c>
      <c r="C6" s="12" t="n">
        <v>1</v>
      </c>
      <c r="D6" s="3" t="s">
        <v>23</v>
      </c>
      <c r="E6" s="4" t="n">
        <f aca="false">TJM!$B$6</f>
        <v>450</v>
      </c>
      <c r="F6" s="6" t="n">
        <f aca="false">C6*E6</f>
        <v>450</v>
      </c>
    </row>
    <row r="7" customFormat="false" ht="15" hidden="false" customHeight="false" outlineLevel="0" collapsed="false">
      <c r="A7" s="3" t="s">
        <v>21</v>
      </c>
      <c r="B7" s="3" t="s">
        <v>48</v>
      </c>
      <c r="C7" s="12" t="n">
        <v>1</v>
      </c>
      <c r="D7" s="3" t="s">
        <v>21</v>
      </c>
      <c r="E7" s="4" t="n">
        <f aca="false">TJM!$B$5</f>
        <v>450</v>
      </c>
      <c r="F7" s="6" t="n">
        <f aca="false">C7*E7</f>
        <v>450</v>
      </c>
    </row>
    <row r="8" customFormat="false" ht="15" hidden="false" customHeight="false" outlineLevel="0" collapsed="false">
      <c r="A8" s="3" t="s">
        <v>21</v>
      </c>
      <c r="B8" s="3" t="s">
        <v>49</v>
      </c>
      <c r="C8" s="12" t="n">
        <v>2</v>
      </c>
      <c r="D8" s="3" t="s">
        <v>21</v>
      </c>
      <c r="E8" s="4" t="n">
        <f aca="false">TJM!$B$5</f>
        <v>450</v>
      </c>
      <c r="F8" s="6" t="n">
        <f aca="false">C8*E8</f>
        <v>900</v>
      </c>
    </row>
    <row r="9" customFormat="false" ht="15" hidden="false" customHeight="false" outlineLevel="0" collapsed="false">
      <c r="A9" s="3" t="s">
        <v>50</v>
      </c>
      <c r="B9" s="3" t="s">
        <v>51</v>
      </c>
      <c r="C9" s="12" t="n">
        <v>1</v>
      </c>
      <c r="D9" s="3" t="s">
        <v>23</v>
      </c>
      <c r="E9" s="4" t="n">
        <f aca="false">TJM!$B$6</f>
        <v>450</v>
      </c>
      <c r="F9" s="6" t="n">
        <f aca="false">C9*E9</f>
        <v>450</v>
      </c>
    </row>
    <row r="10" customFormat="false" ht="15" hidden="false" customHeight="false" outlineLevel="0" collapsed="false">
      <c r="A10" s="3" t="s">
        <v>50</v>
      </c>
      <c r="B10" s="3" t="s">
        <v>52</v>
      </c>
      <c r="C10" s="12" t="n">
        <v>2</v>
      </c>
      <c r="D10" s="3" t="s">
        <v>23</v>
      </c>
      <c r="E10" s="4" t="n">
        <f aca="false">TJM!$B$6</f>
        <v>450</v>
      </c>
      <c r="F10" s="6" t="n">
        <f aca="false">C10*E10</f>
        <v>900</v>
      </c>
    </row>
    <row r="11" customFormat="false" ht="15" hidden="false" customHeight="false" outlineLevel="0" collapsed="false">
      <c r="A11" s="3" t="s">
        <v>50</v>
      </c>
      <c r="B11" s="3" t="s">
        <v>53</v>
      </c>
      <c r="C11" s="12" t="n">
        <v>2</v>
      </c>
      <c r="D11" s="3" t="s">
        <v>23</v>
      </c>
      <c r="E11" s="4" t="n">
        <f aca="false">TJM!$B$6</f>
        <v>450</v>
      </c>
      <c r="F11" s="6" t="n">
        <f aca="false">C11*E11</f>
        <v>900</v>
      </c>
    </row>
    <row r="12" customFormat="false" ht="15" hidden="false" customHeight="false" outlineLevel="0" collapsed="false">
      <c r="A12" s="3" t="s">
        <v>50</v>
      </c>
      <c r="B12" s="3" t="s">
        <v>54</v>
      </c>
      <c r="C12" s="12" t="n">
        <v>2</v>
      </c>
      <c r="D12" s="3" t="s">
        <v>23</v>
      </c>
      <c r="E12" s="4" t="n">
        <f aca="false">TJM!$B$6</f>
        <v>450</v>
      </c>
      <c r="F12" s="6" t="n">
        <f aca="false">C12*E12</f>
        <v>900</v>
      </c>
    </row>
    <row r="13" customFormat="false" ht="15" hidden="false" customHeight="false" outlineLevel="0" collapsed="false">
      <c r="A13" s="3" t="s">
        <v>50</v>
      </c>
      <c r="B13" s="3" t="s">
        <v>55</v>
      </c>
      <c r="C13" s="12" t="n">
        <v>2</v>
      </c>
      <c r="D13" s="3" t="s">
        <v>23</v>
      </c>
      <c r="E13" s="4" t="n">
        <f aca="false">TJM!$B$6</f>
        <v>450</v>
      </c>
      <c r="F13" s="6" t="n">
        <f aca="false">C13*E13</f>
        <v>900</v>
      </c>
    </row>
    <row r="14" customFormat="false" ht="15" hidden="false" customHeight="false" outlineLevel="0" collapsed="false">
      <c r="A14" s="3" t="s">
        <v>50</v>
      </c>
      <c r="B14" s="3" t="s">
        <v>56</v>
      </c>
      <c r="C14" s="12" t="n">
        <v>1</v>
      </c>
      <c r="D14" s="3" t="s">
        <v>23</v>
      </c>
      <c r="E14" s="4" t="n">
        <f aca="false">TJM!$B$6</f>
        <v>450</v>
      </c>
      <c r="F14" s="6" t="n">
        <f aca="false">C14*E14</f>
        <v>450</v>
      </c>
    </row>
    <row r="15" customFormat="false" ht="15" hidden="false" customHeight="false" outlineLevel="0" collapsed="false">
      <c r="A15" s="3" t="s">
        <v>50</v>
      </c>
      <c r="B15" s="3" t="s">
        <v>57</v>
      </c>
      <c r="C15" s="12" t="n">
        <v>2</v>
      </c>
      <c r="D15" s="3" t="s">
        <v>23</v>
      </c>
      <c r="E15" s="4" t="n">
        <f aca="false">TJM!$B$6</f>
        <v>450</v>
      </c>
      <c r="F15" s="6" t="n">
        <f aca="false">C15*E15</f>
        <v>900</v>
      </c>
    </row>
    <row r="16" customFormat="false" ht="15" hidden="false" customHeight="false" outlineLevel="0" collapsed="false">
      <c r="A16" s="3" t="s">
        <v>58</v>
      </c>
      <c r="B16" s="3" t="s">
        <v>59</v>
      </c>
      <c r="C16" s="12" t="n">
        <v>1</v>
      </c>
      <c r="D16" s="3" t="s">
        <v>29</v>
      </c>
      <c r="E16" s="4" t="n">
        <f aca="false">TJM!$B$9</f>
        <v>450</v>
      </c>
      <c r="F16" s="6" t="n">
        <f aca="false">C16*E16</f>
        <v>450</v>
      </c>
    </row>
    <row r="17" customFormat="false" ht="15" hidden="false" customHeight="false" outlineLevel="0" collapsed="false">
      <c r="A17" s="3" t="s">
        <v>58</v>
      </c>
      <c r="B17" s="3" t="s">
        <v>60</v>
      </c>
      <c r="C17" s="12" t="n">
        <v>2</v>
      </c>
      <c r="D17" s="3" t="s">
        <v>29</v>
      </c>
      <c r="E17" s="4" t="n">
        <f aca="false">TJM!$B$9</f>
        <v>450</v>
      </c>
      <c r="F17" s="6" t="n">
        <f aca="false">C17*E17</f>
        <v>900</v>
      </c>
    </row>
    <row r="18" customFormat="false" ht="15" hidden="false" customHeight="false" outlineLevel="0" collapsed="false">
      <c r="A18" s="3" t="s">
        <v>58</v>
      </c>
      <c r="B18" s="3" t="s">
        <v>61</v>
      </c>
      <c r="C18" s="12" t="n">
        <v>2</v>
      </c>
      <c r="D18" s="3" t="s">
        <v>23</v>
      </c>
      <c r="E18" s="4" t="n">
        <f aca="false">TJM!$B$6</f>
        <v>450</v>
      </c>
      <c r="F18" s="6" t="n">
        <f aca="false">C18*E18</f>
        <v>900</v>
      </c>
    </row>
    <row r="19" customFormat="false" ht="15" hidden="false" customHeight="false" outlineLevel="0" collapsed="false">
      <c r="A19" s="3" t="s">
        <v>62</v>
      </c>
      <c r="B19" s="3" t="s">
        <v>63</v>
      </c>
      <c r="C19" s="12" t="n">
        <v>1</v>
      </c>
      <c r="D19" s="3" t="s">
        <v>31</v>
      </c>
      <c r="E19" s="4" t="n">
        <f aca="false">TJM!$B$10</f>
        <v>550</v>
      </c>
      <c r="F19" s="6" t="n">
        <f aca="false">C19*E19</f>
        <v>550</v>
      </c>
    </row>
    <row r="20" customFormat="false" ht="15" hidden="false" customHeight="false" outlineLevel="0" collapsed="false">
      <c r="A20" s="3" t="s">
        <v>62</v>
      </c>
      <c r="B20" s="3" t="s">
        <v>64</v>
      </c>
      <c r="C20" s="12" t="n">
        <v>1</v>
      </c>
      <c r="D20" s="3" t="s">
        <v>23</v>
      </c>
      <c r="E20" s="4" t="n">
        <f aca="false">TJM!$B$6</f>
        <v>450</v>
      </c>
      <c r="F20" s="6" t="n">
        <f aca="false">C20*E20</f>
        <v>450</v>
      </c>
    </row>
    <row r="22" customFormat="false" ht="15" hidden="false" customHeight="false" outlineLevel="0" collapsed="false">
      <c r="A22" s="1" t="s">
        <v>65</v>
      </c>
    </row>
    <row r="23" customFormat="false" ht="15" hidden="false" customHeight="false" outlineLevel="0" collapsed="false">
      <c r="A23" s="13" t="s">
        <v>44</v>
      </c>
      <c r="B23" s="13"/>
      <c r="C23" s="13" t="n">
        <f aca="false">SUMIF($A$4:$A$20,A23,$C$4:$C$20)</f>
        <v>4</v>
      </c>
      <c r="D23" s="13"/>
      <c r="E23" s="13"/>
      <c r="F23" s="14" t="n">
        <f aca="false">SUMIF($A$4:$A$20,A23,$F$4:$F$20)</f>
        <v>2250</v>
      </c>
    </row>
    <row r="24" customFormat="false" ht="15" hidden="false" customHeight="false" outlineLevel="0" collapsed="false">
      <c r="A24" s="13" t="s">
        <v>21</v>
      </c>
      <c r="B24" s="13"/>
      <c r="C24" s="13" t="n">
        <f aca="false">SUMIF($A$4:$A$20,A24,$C$4:$C$20)</f>
        <v>3</v>
      </c>
      <c r="D24" s="13"/>
      <c r="E24" s="13"/>
      <c r="F24" s="14" t="n">
        <f aca="false">SUMIF($A$4:$A$20,A24,$F$4:$F$20)</f>
        <v>1350</v>
      </c>
    </row>
    <row r="25" customFormat="false" ht="15" hidden="false" customHeight="false" outlineLevel="0" collapsed="false">
      <c r="A25" s="13" t="s">
        <v>50</v>
      </c>
      <c r="B25" s="13"/>
      <c r="C25" s="13" t="n">
        <f aca="false">SUMIF($A$4:$A$20,A25,$C$4:$C$20)</f>
        <v>12</v>
      </c>
      <c r="D25" s="13"/>
      <c r="E25" s="13"/>
      <c r="F25" s="14" t="n">
        <f aca="false">SUMIF($A$4:$A$20,A25,$F$4:$F$20)</f>
        <v>5400</v>
      </c>
    </row>
    <row r="26" customFormat="false" ht="15" hidden="false" customHeight="false" outlineLevel="0" collapsed="false">
      <c r="A26" s="13" t="s">
        <v>58</v>
      </c>
      <c r="B26" s="13"/>
      <c r="C26" s="13" t="n">
        <f aca="false">SUMIF($A$4:$A$20,A26,$C$4:$C$20)</f>
        <v>5</v>
      </c>
      <c r="D26" s="13"/>
      <c r="E26" s="13"/>
      <c r="F26" s="14" t="n">
        <f aca="false">SUMIF($A$4:$A$20,A26,$F$4:$F$20)</f>
        <v>2250</v>
      </c>
    </row>
    <row r="27" customFormat="false" ht="15" hidden="false" customHeight="false" outlineLevel="0" collapsed="false">
      <c r="A27" s="13" t="s">
        <v>62</v>
      </c>
      <c r="B27" s="13"/>
      <c r="C27" s="13" t="n">
        <f aca="false">SUMIF($A$4:$A$20,A27,$C$4:$C$20)</f>
        <v>2</v>
      </c>
      <c r="D27" s="13"/>
      <c r="E27" s="13"/>
      <c r="F27" s="14" t="n">
        <f aca="false">SUMIF($A$4:$A$20,A27,$F$4:$F$20)</f>
        <v>1000</v>
      </c>
    </row>
    <row r="28" customFormat="false" ht="15" hidden="false" customHeight="false" outlineLevel="0" collapsed="false">
      <c r="A28" s="7" t="s">
        <v>66</v>
      </c>
      <c r="B28" s="7"/>
      <c r="C28" s="7" t="n">
        <f aca="false">SUM(C4:C20)</f>
        <v>26</v>
      </c>
      <c r="D28" s="7"/>
      <c r="E28" s="7"/>
      <c r="F28" s="8" t="n">
        <f aca="false">SUM(F4:F20)</f>
        <v>12250</v>
      </c>
    </row>
    <row r="29" customFormat="false" ht="15" hidden="false" customHeight="false" outlineLevel="0" collapsed="false">
      <c r="A29" s="3" t="s">
        <v>67</v>
      </c>
      <c r="B29" s="3"/>
      <c r="C29" s="3"/>
      <c r="D29" s="3"/>
      <c r="E29" s="3"/>
      <c r="F29" s="6" t="n">
        <f aca="false">F28-SUM(F23:F27)</f>
        <v>0</v>
      </c>
    </row>
    <row r="30" customFormat="false" ht="15" hidden="false" customHeight="false" outlineLevel="0" collapsed="false">
      <c r="A30" s="3" t="s">
        <v>3</v>
      </c>
      <c r="B30" s="3"/>
      <c r="C30" s="3"/>
      <c r="D30" s="3"/>
      <c r="E30" s="5" t="n">
        <f aca="false">TJM!$B$14</f>
        <v>0.08</v>
      </c>
      <c r="F30" s="6" t="n">
        <f aca="false">F28*E30</f>
        <v>980</v>
      </c>
    </row>
    <row r="31" customFormat="false" ht="15" hidden="false" customHeight="false" outlineLevel="0" collapsed="false">
      <c r="A31" s="7" t="s">
        <v>68</v>
      </c>
      <c r="B31" s="7"/>
      <c r="C31" s="7"/>
      <c r="D31" s="7"/>
      <c r="E31" s="7"/>
      <c r="F31" s="8" t="n">
        <f aca="false">F28+F30</f>
        <v>13230</v>
      </c>
    </row>
    <row r="32" customFormat="false" ht="15" hidden="false" customHeight="false" outlineLevel="0" collapsed="false">
      <c r="A32" s="3" t="s">
        <v>69</v>
      </c>
      <c r="B32" s="3"/>
      <c r="C32" s="3" t="n">
        <f aca="false">MAX(C4:C20)</f>
        <v>2</v>
      </c>
      <c r="D32" s="3"/>
      <c r="E32" s="3"/>
      <c r="F3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16</v>
      </c>
      <c r="E3" s="2" t="s">
        <v>17</v>
      </c>
      <c r="F3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12" t="n">
        <v>1</v>
      </c>
      <c r="D4" s="3" t="s">
        <v>19</v>
      </c>
      <c r="E4" s="4" t="n">
        <f aca="false">TJM!$B$4</f>
        <v>600</v>
      </c>
      <c r="F4" s="6" t="n">
        <f aca="false">C4*E4</f>
        <v>600</v>
      </c>
    </row>
    <row r="5" customFormat="false" ht="15" hidden="false" customHeight="false" outlineLevel="0" collapsed="false">
      <c r="A5" s="3" t="s">
        <v>44</v>
      </c>
      <c r="B5" s="3" t="s">
        <v>71</v>
      </c>
      <c r="C5" s="12" t="n">
        <v>3</v>
      </c>
      <c r="D5" s="3" t="s">
        <v>19</v>
      </c>
      <c r="E5" s="4" t="n">
        <f aca="false">TJM!$B$4</f>
        <v>600</v>
      </c>
      <c r="F5" s="6" t="n">
        <f aca="false">C5*E5</f>
        <v>1800</v>
      </c>
    </row>
    <row r="6" customFormat="false" ht="15" hidden="false" customHeight="false" outlineLevel="0" collapsed="false">
      <c r="A6" s="3" t="s">
        <v>44</v>
      </c>
      <c r="B6" s="3" t="s">
        <v>72</v>
      </c>
      <c r="C6" s="12" t="n">
        <v>1</v>
      </c>
      <c r="D6" s="3" t="s">
        <v>19</v>
      </c>
      <c r="E6" s="4" t="n">
        <f aca="false">TJM!$B$4</f>
        <v>600</v>
      </c>
      <c r="F6" s="6" t="n">
        <f aca="false">C6*E6</f>
        <v>600</v>
      </c>
    </row>
    <row r="7" customFormat="false" ht="15" hidden="false" customHeight="false" outlineLevel="0" collapsed="false">
      <c r="A7" s="3" t="s">
        <v>44</v>
      </c>
      <c r="B7" s="3" t="s">
        <v>73</v>
      </c>
      <c r="C7" s="12" t="n">
        <v>2</v>
      </c>
      <c r="D7" s="3" t="s">
        <v>19</v>
      </c>
      <c r="E7" s="4" t="n">
        <f aca="false">TJM!$B$4</f>
        <v>600</v>
      </c>
      <c r="F7" s="6" t="n">
        <f aca="false">C7*E7</f>
        <v>1200</v>
      </c>
    </row>
    <row r="8" customFormat="false" ht="15" hidden="false" customHeight="false" outlineLevel="0" collapsed="false">
      <c r="A8" s="3" t="s">
        <v>21</v>
      </c>
      <c r="B8" s="3" t="s">
        <v>74</v>
      </c>
      <c r="C8" s="12" t="n">
        <v>2</v>
      </c>
      <c r="D8" s="3" t="s">
        <v>21</v>
      </c>
      <c r="E8" s="4" t="n">
        <f aca="false">TJM!$B$5</f>
        <v>450</v>
      </c>
      <c r="F8" s="6" t="n">
        <f aca="false">C8*E8</f>
        <v>900</v>
      </c>
    </row>
    <row r="9" customFormat="false" ht="15" hidden="false" customHeight="false" outlineLevel="0" collapsed="false">
      <c r="A9" s="3" t="s">
        <v>21</v>
      </c>
      <c r="B9" s="3" t="s">
        <v>75</v>
      </c>
      <c r="C9" s="12" t="n">
        <v>3</v>
      </c>
      <c r="D9" s="3" t="s">
        <v>21</v>
      </c>
      <c r="E9" s="4" t="n">
        <f aca="false">TJM!$B$5</f>
        <v>450</v>
      </c>
      <c r="F9" s="6" t="n">
        <f aca="false">C9*E9</f>
        <v>1350</v>
      </c>
    </row>
    <row r="10" customFormat="false" ht="15" hidden="false" customHeight="false" outlineLevel="0" collapsed="false">
      <c r="A10" s="3" t="s">
        <v>21</v>
      </c>
      <c r="B10" s="3" t="s">
        <v>76</v>
      </c>
      <c r="C10" s="12" t="n">
        <v>3</v>
      </c>
      <c r="D10" s="3" t="s">
        <v>21</v>
      </c>
      <c r="E10" s="4" t="n">
        <f aca="false">TJM!$B$5</f>
        <v>450</v>
      </c>
      <c r="F10" s="6" t="n">
        <f aca="false">C10*E10</f>
        <v>1350</v>
      </c>
    </row>
    <row r="11" customFormat="false" ht="15" hidden="false" customHeight="false" outlineLevel="0" collapsed="false">
      <c r="A11" s="3" t="s">
        <v>21</v>
      </c>
      <c r="B11" s="3" t="s">
        <v>77</v>
      </c>
      <c r="C11" s="12" t="n">
        <v>1</v>
      </c>
      <c r="D11" s="3" t="s">
        <v>21</v>
      </c>
      <c r="E11" s="4" t="n">
        <f aca="false">TJM!$B$5</f>
        <v>450</v>
      </c>
      <c r="F11" s="6" t="n">
        <f aca="false">C11*E11</f>
        <v>450</v>
      </c>
    </row>
    <row r="12" customFormat="false" ht="15" hidden="false" customHeight="false" outlineLevel="0" collapsed="false">
      <c r="A12" s="3" t="s">
        <v>78</v>
      </c>
      <c r="B12" s="3" t="s">
        <v>79</v>
      </c>
      <c r="C12" s="12" t="n">
        <v>3</v>
      </c>
      <c r="D12" s="3" t="s">
        <v>25</v>
      </c>
      <c r="E12" s="4" t="n">
        <f aca="false">TJM!$B$7</f>
        <v>450</v>
      </c>
      <c r="F12" s="6" t="n">
        <f aca="false">C12*E12</f>
        <v>1350</v>
      </c>
    </row>
    <row r="13" customFormat="false" ht="15" hidden="false" customHeight="false" outlineLevel="0" collapsed="false">
      <c r="A13" s="3" t="s">
        <v>78</v>
      </c>
      <c r="B13" s="3" t="s">
        <v>80</v>
      </c>
      <c r="C13" s="12" t="n">
        <v>2</v>
      </c>
      <c r="D13" s="3" t="s">
        <v>25</v>
      </c>
      <c r="E13" s="4" t="n">
        <f aca="false">TJM!$B$7</f>
        <v>450</v>
      </c>
      <c r="F13" s="6" t="n">
        <f aca="false">C13*E13</f>
        <v>900</v>
      </c>
    </row>
    <row r="14" customFormat="false" ht="15" hidden="false" customHeight="false" outlineLevel="0" collapsed="false">
      <c r="A14" s="3" t="s">
        <v>78</v>
      </c>
      <c r="B14" s="3" t="s">
        <v>81</v>
      </c>
      <c r="C14" s="12" t="n">
        <v>2</v>
      </c>
      <c r="D14" s="3" t="s">
        <v>25</v>
      </c>
      <c r="E14" s="4" t="n">
        <f aca="false">TJM!$B$7</f>
        <v>450</v>
      </c>
      <c r="F14" s="6" t="n">
        <f aca="false">C14*E14</f>
        <v>900</v>
      </c>
    </row>
    <row r="15" customFormat="false" ht="15" hidden="false" customHeight="false" outlineLevel="0" collapsed="false">
      <c r="A15" s="3" t="s">
        <v>78</v>
      </c>
      <c r="B15" s="3" t="s">
        <v>82</v>
      </c>
      <c r="C15" s="12" t="n">
        <v>3</v>
      </c>
      <c r="D15" s="3" t="s">
        <v>25</v>
      </c>
      <c r="E15" s="4" t="n">
        <f aca="false">TJM!$B$7</f>
        <v>450</v>
      </c>
      <c r="F15" s="6" t="n">
        <f aca="false">C15*E15</f>
        <v>1350</v>
      </c>
    </row>
    <row r="16" customFormat="false" ht="15" hidden="false" customHeight="false" outlineLevel="0" collapsed="false">
      <c r="A16" s="3" t="s">
        <v>78</v>
      </c>
      <c r="B16" s="3" t="s">
        <v>83</v>
      </c>
      <c r="C16" s="12" t="n">
        <v>1</v>
      </c>
      <c r="D16" s="3" t="s">
        <v>25</v>
      </c>
      <c r="E16" s="4" t="n">
        <f aca="false">TJM!$B$7</f>
        <v>450</v>
      </c>
      <c r="F16" s="6" t="n">
        <f aca="false">C16*E16</f>
        <v>450</v>
      </c>
    </row>
    <row r="17" customFormat="false" ht="15" hidden="false" customHeight="false" outlineLevel="0" collapsed="false">
      <c r="A17" s="3" t="s">
        <v>78</v>
      </c>
      <c r="B17" s="3" t="s">
        <v>84</v>
      </c>
      <c r="C17" s="12" t="n">
        <v>2</v>
      </c>
      <c r="D17" s="3" t="s">
        <v>25</v>
      </c>
      <c r="E17" s="4" t="n">
        <f aca="false">TJM!$B$7</f>
        <v>450</v>
      </c>
      <c r="F17" s="6" t="n">
        <f aca="false">C17*E17</f>
        <v>900</v>
      </c>
    </row>
    <row r="18" customFormat="false" ht="15" hidden="false" customHeight="false" outlineLevel="0" collapsed="false">
      <c r="A18" s="3" t="s">
        <v>78</v>
      </c>
      <c r="B18" s="3" t="s">
        <v>85</v>
      </c>
      <c r="C18" s="12" t="n">
        <v>1</v>
      </c>
      <c r="D18" s="3" t="s">
        <v>25</v>
      </c>
      <c r="E18" s="4" t="n">
        <f aca="false">TJM!$B$7</f>
        <v>450</v>
      </c>
      <c r="F18" s="6" t="n">
        <f aca="false">C18*E18</f>
        <v>450</v>
      </c>
    </row>
    <row r="19" customFormat="false" ht="15" hidden="false" customHeight="false" outlineLevel="0" collapsed="false">
      <c r="A19" s="3" t="s">
        <v>78</v>
      </c>
      <c r="B19" s="3" t="s">
        <v>86</v>
      </c>
      <c r="C19" s="12" t="n">
        <v>1</v>
      </c>
      <c r="D19" s="3" t="s">
        <v>25</v>
      </c>
      <c r="E19" s="4" t="n">
        <f aca="false">TJM!$B$7</f>
        <v>450</v>
      </c>
      <c r="F19" s="6" t="n">
        <f aca="false">C19*E19</f>
        <v>450</v>
      </c>
    </row>
    <row r="20" customFormat="false" ht="15" hidden="false" customHeight="false" outlineLevel="0" collapsed="false">
      <c r="A20" s="3" t="s">
        <v>78</v>
      </c>
      <c r="B20" s="3" t="s">
        <v>87</v>
      </c>
      <c r="C20" s="12" t="n">
        <v>2</v>
      </c>
      <c r="D20" s="3" t="s">
        <v>25</v>
      </c>
      <c r="E20" s="4" t="n">
        <f aca="false">TJM!$B$7</f>
        <v>450</v>
      </c>
      <c r="F20" s="6" t="n">
        <f aca="false">C20*E20</f>
        <v>900</v>
      </c>
    </row>
    <row r="21" customFormat="false" ht="15" hidden="false" customHeight="false" outlineLevel="0" collapsed="false">
      <c r="A21" s="3" t="s">
        <v>88</v>
      </c>
      <c r="B21" s="3" t="s">
        <v>89</v>
      </c>
      <c r="C21" s="12" t="n">
        <v>2</v>
      </c>
      <c r="D21" s="3" t="s">
        <v>23</v>
      </c>
      <c r="E21" s="4" t="n">
        <f aca="false">TJM!$B$6</f>
        <v>450</v>
      </c>
      <c r="F21" s="6" t="n">
        <f aca="false">C21*E21</f>
        <v>900</v>
      </c>
    </row>
    <row r="22" customFormat="false" ht="15" hidden="false" customHeight="false" outlineLevel="0" collapsed="false">
      <c r="A22" s="3" t="s">
        <v>88</v>
      </c>
      <c r="B22" s="3" t="s">
        <v>90</v>
      </c>
      <c r="C22" s="12" t="n">
        <v>3</v>
      </c>
      <c r="D22" s="3" t="s">
        <v>23</v>
      </c>
      <c r="E22" s="4" t="n">
        <f aca="false">TJM!$B$6</f>
        <v>450</v>
      </c>
      <c r="F22" s="6" t="n">
        <f aca="false">C22*E22</f>
        <v>1350</v>
      </c>
    </row>
    <row r="23" customFormat="false" ht="15" hidden="false" customHeight="false" outlineLevel="0" collapsed="false">
      <c r="A23" s="3" t="s">
        <v>88</v>
      </c>
      <c r="B23" s="3" t="s">
        <v>91</v>
      </c>
      <c r="C23" s="12" t="n">
        <v>4</v>
      </c>
      <c r="D23" s="3" t="s">
        <v>23</v>
      </c>
      <c r="E23" s="4" t="n">
        <f aca="false">TJM!$B$6</f>
        <v>450</v>
      </c>
      <c r="F23" s="6" t="n">
        <f aca="false">C23*E23</f>
        <v>1800</v>
      </c>
    </row>
    <row r="24" customFormat="false" ht="15" hidden="false" customHeight="false" outlineLevel="0" collapsed="false">
      <c r="A24" s="3" t="s">
        <v>88</v>
      </c>
      <c r="B24" s="3" t="s">
        <v>92</v>
      </c>
      <c r="C24" s="12" t="n">
        <v>3</v>
      </c>
      <c r="D24" s="3" t="s">
        <v>23</v>
      </c>
      <c r="E24" s="4" t="n">
        <f aca="false">TJM!$B$6</f>
        <v>450</v>
      </c>
      <c r="F24" s="6" t="n">
        <f aca="false">C24*E24</f>
        <v>1350</v>
      </c>
    </row>
    <row r="25" customFormat="false" ht="15" hidden="false" customHeight="false" outlineLevel="0" collapsed="false">
      <c r="A25" s="3" t="s">
        <v>88</v>
      </c>
      <c r="B25" s="3" t="s">
        <v>93</v>
      </c>
      <c r="C25" s="12" t="n">
        <v>3</v>
      </c>
      <c r="D25" s="3" t="s">
        <v>23</v>
      </c>
      <c r="E25" s="4" t="n">
        <f aca="false">TJM!$B$6</f>
        <v>450</v>
      </c>
      <c r="F25" s="6" t="n">
        <f aca="false">C25*E25</f>
        <v>1350</v>
      </c>
    </row>
    <row r="26" customFormat="false" ht="15" hidden="false" customHeight="false" outlineLevel="0" collapsed="false">
      <c r="A26" s="3" t="s">
        <v>88</v>
      </c>
      <c r="B26" s="3" t="s">
        <v>94</v>
      </c>
      <c r="C26" s="12" t="n">
        <v>2</v>
      </c>
      <c r="D26" s="3" t="s">
        <v>23</v>
      </c>
      <c r="E26" s="4" t="n">
        <f aca="false">TJM!$B$6</f>
        <v>450</v>
      </c>
      <c r="F26" s="6" t="n">
        <f aca="false">C26*E26</f>
        <v>900</v>
      </c>
    </row>
    <row r="27" customFormat="false" ht="15" hidden="false" customHeight="false" outlineLevel="0" collapsed="false">
      <c r="A27" s="3" t="s">
        <v>88</v>
      </c>
      <c r="B27" s="3" t="s">
        <v>95</v>
      </c>
      <c r="C27" s="12" t="n">
        <v>2</v>
      </c>
      <c r="D27" s="3" t="s">
        <v>23</v>
      </c>
      <c r="E27" s="4" t="n">
        <f aca="false">TJM!$B$6</f>
        <v>450</v>
      </c>
      <c r="F27" s="6" t="n">
        <f aca="false">C27*E27</f>
        <v>900</v>
      </c>
    </row>
    <row r="28" customFormat="false" ht="15" hidden="false" customHeight="false" outlineLevel="0" collapsed="false">
      <c r="A28" s="3" t="s">
        <v>96</v>
      </c>
      <c r="B28" s="3" t="s">
        <v>97</v>
      </c>
      <c r="C28" s="12" t="n">
        <v>2</v>
      </c>
      <c r="D28" s="3" t="s">
        <v>25</v>
      </c>
      <c r="E28" s="4" t="n">
        <f aca="false">TJM!$B$7</f>
        <v>450</v>
      </c>
      <c r="F28" s="6" t="n">
        <f aca="false">C28*E28</f>
        <v>900</v>
      </c>
    </row>
    <row r="29" customFormat="false" ht="15" hidden="false" customHeight="false" outlineLevel="0" collapsed="false">
      <c r="A29" s="3" t="s">
        <v>96</v>
      </c>
      <c r="B29" s="3" t="s">
        <v>98</v>
      </c>
      <c r="C29" s="12" t="n">
        <v>3</v>
      </c>
      <c r="D29" s="3" t="s">
        <v>23</v>
      </c>
      <c r="E29" s="4" t="n">
        <f aca="false">TJM!$B$6</f>
        <v>450</v>
      </c>
      <c r="F29" s="6" t="n">
        <f aca="false">C29*E29</f>
        <v>1350</v>
      </c>
    </row>
    <row r="30" customFormat="false" ht="15" hidden="false" customHeight="false" outlineLevel="0" collapsed="false">
      <c r="A30" s="3" t="s">
        <v>96</v>
      </c>
      <c r="B30" s="3" t="s">
        <v>99</v>
      </c>
      <c r="C30" s="12" t="n">
        <v>3</v>
      </c>
      <c r="D30" s="3" t="s">
        <v>25</v>
      </c>
      <c r="E30" s="4" t="n">
        <f aca="false">TJM!$B$7</f>
        <v>450</v>
      </c>
      <c r="F30" s="6" t="n">
        <f aca="false">C30*E30</f>
        <v>1350</v>
      </c>
    </row>
    <row r="31" customFormat="false" ht="15" hidden="false" customHeight="false" outlineLevel="0" collapsed="false">
      <c r="A31" s="3" t="s">
        <v>100</v>
      </c>
      <c r="B31" s="3" t="s">
        <v>101</v>
      </c>
      <c r="C31" s="12" t="n">
        <v>2</v>
      </c>
      <c r="D31" s="3" t="s">
        <v>33</v>
      </c>
      <c r="E31" s="4" t="n">
        <f aca="false">TJM!$B$11</f>
        <v>700</v>
      </c>
      <c r="F31" s="6" t="n">
        <f aca="false">C31*E31</f>
        <v>1400</v>
      </c>
    </row>
    <row r="32" customFormat="false" ht="15" hidden="false" customHeight="false" outlineLevel="0" collapsed="false">
      <c r="A32" s="3" t="s">
        <v>100</v>
      </c>
      <c r="B32" s="3" t="s">
        <v>102</v>
      </c>
      <c r="C32" s="12" t="n">
        <v>2</v>
      </c>
      <c r="D32" s="3" t="s">
        <v>25</v>
      </c>
      <c r="E32" s="4" t="n">
        <f aca="false">TJM!$B$7</f>
        <v>450</v>
      </c>
      <c r="F32" s="6" t="n">
        <f aca="false">C32*E32</f>
        <v>900</v>
      </c>
    </row>
    <row r="33" customFormat="false" ht="15" hidden="false" customHeight="false" outlineLevel="0" collapsed="false">
      <c r="A33" s="3" t="s">
        <v>58</v>
      </c>
      <c r="B33" s="3" t="s">
        <v>103</v>
      </c>
      <c r="C33" s="12" t="n">
        <v>2</v>
      </c>
      <c r="D33" s="3" t="s">
        <v>29</v>
      </c>
      <c r="E33" s="4" t="n">
        <f aca="false">TJM!$B$9</f>
        <v>450</v>
      </c>
      <c r="F33" s="6" t="n">
        <f aca="false">C33*E33</f>
        <v>900</v>
      </c>
    </row>
    <row r="34" customFormat="false" ht="15" hidden="false" customHeight="false" outlineLevel="0" collapsed="false">
      <c r="A34" s="3" t="s">
        <v>58</v>
      </c>
      <c r="B34" s="3" t="s">
        <v>104</v>
      </c>
      <c r="C34" s="12" t="n">
        <v>5</v>
      </c>
      <c r="D34" s="3" t="s">
        <v>29</v>
      </c>
      <c r="E34" s="4" t="n">
        <f aca="false">TJM!$B$9</f>
        <v>450</v>
      </c>
      <c r="F34" s="6" t="n">
        <f aca="false">C34*E34</f>
        <v>2250</v>
      </c>
    </row>
    <row r="35" customFormat="false" ht="15" hidden="false" customHeight="false" outlineLevel="0" collapsed="false">
      <c r="A35" s="3" t="s">
        <v>58</v>
      </c>
      <c r="B35" s="3" t="s">
        <v>61</v>
      </c>
      <c r="C35" s="12" t="n">
        <v>5</v>
      </c>
      <c r="D35" s="3" t="s">
        <v>27</v>
      </c>
      <c r="E35" s="4" t="n">
        <f aca="false">TJM!$B$8</f>
        <v>450</v>
      </c>
      <c r="F35" s="6" t="n">
        <f aca="false">C35*E35</f>
        <v>2250</v>
      </c>
    </row>
    <row r="36" customFormat="false" ht="15" hidden="false" customHeight="false" outlineLevel="0" collapsed="false">
      <c r="A36" s="3" t="s">
        <v>58</v>
      </c>
      <c r="B36" s="3" t="s">
        <v>105</v>
      </c>
      <c r="C36" s="12" t="n">
        <v>1</v>
      </c>
      <c r="D36" s="3" t="s">
        <v>19</v>
      </c>
      <c r="E36" s="4" t="n">
        <f aca="false">TJM!$B$4</f>
        <v>600</v>
      </c>
      <c r="F36" s="6" t="n">
        <f aca="false">C36*E36</f>
        <v>600</v>
      </c>
    </row>
    <row r="37" customFormat="false" ht="15" hidden="false" customHeight="false" outlineLevel="0" collapsed="false">
      <c r="A37" s="3" t="s">
        <v>106</v>
      </c>
      <c r="B37" s="3" t="s">
        <v>107</v>
      </c>
      <c r="C37" s="12" t="n">
        <v>3</v>
      </c>
      <c r="D37" s="3" t="s">
        <v>31</v>
      </c>
      <c r="E37" s="4" t="n">
        <f aca="false">TJM!$B$10</f>
        <v>550</v>
      </c>
      <c r="F37" s="6" t="n">
        <f aca="false">C37*E37</f>
        <v>1650</v>
      </c>
    </row>
    <row r="38" customFormat="false" ht="15" hidden="false" customHeight="false" outlineLevel="0" collapsed="false">
      <c r="A38" s="3" t="s">
        <v>106</v>
      </c>
      <c r="B38" s="3" t="s">
        <v>108</v>
      </c>
      <c r="C38" s="12" t="n">
        <v>2</v>
      </c>
      <c r="D38" s="3" t="s">
        <v>31</v>
      </c>
      <c r="E38" s="4" t="n">
        <f aca="false">TJM!$B$10</f>
        <v>550</v>
      </c>
      <c r="F38" s="6" t="n">
        <f aca="false">C38*E38</f>
        <v>1100</v>
      </c>
    </row>
    <row r="39" customFormat="false" ht="15" hidden="false" customHeight="false" outlineLevel="0" collapsed="false">
      <c r="A39" s="3" t="s">
        <v>106</v>
      </c>
      <c r="B39" s="3" t="s">
        <v>109</v>
      </c>
      <c r="C39" s="12" t="n">
        <v>1</v>
      </c>
      <c r="D39" s="3" t="s">
        <v>25</v>
      </c>
      <c r="E39" s="4" t="n">
        <f aca="false">TJM!$B$7</f>
        <v>450</v>
      </c>
      <c r="F39" s="6" t="n">
        <f aca="false">C39*E39</f>
        <v>450</v>
      </c>
    </row>
    <row r="41" customFormat="false" ht="15" hidden="false" customHeight="false" outlineLevel="0" collapsed="false">
      <c r="A41" s="1" t="s">
        <v>65</v>
      </c>
    </row>
    <row r="42" customFormat="false" ht="15" hidden="false" customHeight="false" outlineLevel="0" collapsed="false">
      <c r="A42" s="13" t="s">
        <v>44</v>
      </c>
      <c r="B42" s="13"/>
      <c r="C42" s="13" t="n">
        <f aca="false">SUMIF($A$4:$A$39,A42,$C$4:$C$39)</f>
        <v>7</v>
      </c>
      <c r="D42" s="13"/>
      <c r="E42" s="13"/>
      <c r="F42" s="14" t="n">
        <f aca="false">SUMIF($A$4:$A$39,A42,$F$4:$F$39)</f>
        <v>4200</v>
      </c>
    </row>
    <row r="43" customFormat="false" ht="15" hidden="false" customHeight="false" outlineLevel="0" collapsed="false">
      <c r="A43" s="13" t="s">
        <v>21</v>
      </c>
      <c r="B43" s="13"/>
      <c r="C43" s="13" t="n">
        <f aca="false">SUMIF($A$4:$A$39,A43,$C$4:$C$39)</f>
        <v>9</v>
      </c>
      <c r="D43" s="13"/>
      <c r="E43" s="13"/>
      <c r="F43" s="14" t="n">
        <f aca="false">SUMIF($A$4:$A$39,A43,$F$4:$F$39)</f>
        <v>4050</v>
      </c>
    </row>
    <row r="44" customFormat="false" ht="15" hidden="false" customHeight="false" outlineLevel="0" collapsed="false">
      <c r="A44" s="13" t="s">
        <v>78</v>
      </c>
      <c r="B44" s="13"/>
      <c r="C44" s="13" t="n">
        <f aca="false">SUMIF($A$4:$A$39,A44,$C$4:$C$39)</f>
        <v>17</v>
      </c>
      <c r="D44" s="13"/>
      <c r="E44" s="13"/>
      <c r="F44" s="14" t="n">
        <f aca="false">SUMIF($A$4:$A$39,A44,$F$4:$F$39)</f>
        <v>7650</v>
      </c>
    </row>
    <row r="45" customFormat="false" ht="15" hidden="false" customHeight="false" outlineLevel="0" collapsed="false">
      <c r="A45" s="13" t="s">
        <v>88</v>
      </c>
      <c r="B45" s="13"/>
      <c r="C45" s="13" t="n">
        <f aca="false">SUMIF($A$4:$A$39,A45,$C$4:$C$39)</f>
        <v>19</v>
      </c>
      <c r="D45" s="13"/>
      <c r="E45" s="13"/>
      <c r="F45" s="14" t="n">
        <f aca="false">SUMIF($A$4:$A$39,A45,$F$4:$F$39)</f>
        <v>8550</v>
      </c>
    </row>
    <row r="46" customFormat="false" ht="15" hidden="false" customHeight="false" outlineLevel="0" collapsed="false">
      <c r="A46" s="13" t="s">
        <v>96</v>
      </c>
      <c r="B46" s="13"/>
      <c r="C46" s="13" t="n">
        <f aca="false">SUMIF($A$4:$A$39,A46,$C$4:$C$39)</f>
        <v>8</v>
      </c>
      <c r="D46" s="13"/>
      <c r="E46" s="13"/>
      <c r="F46" s="14" t="n">
        <f aca="false">SUMIF($A$4:$A$39,A46,$F$4:$F$39)</f>
        <v>3600</v>
      </c>
    </row>
    <row r="47" customFormat="false" ht="15" hidden="false" customHeight="false" outlineLevel="0" collapsed="false">
      <c r="A47" s="13" t="s">
        <v>100</v>
      </c>
      <c r="B47" s="13"/>
      <c r="C47" s="13" t="n">
        <f aca="false">SUMIF($A$4:$A$39,A47,$C$4:$C$39)</f>
        <v>4</v>
      </c>
      <c r="D47" s="13"/>
      <c r="E47" s="13"/>
      <c r="F47" s="14" t="n">
        <f aca="false">SUMIF($A$4:$A$39,A47,$F$4:$F$39)</f>
        <v>2300</v>
      </c>
    </row>
    <row r="48" customFormat="false" ht="15" hidden="false" customHeight="false" outlineLevel="0" collapsed="false">
      <c r="A48" s="13" t="s">
        <v>58</v>
      </c>
      <c r="B48" s="13"/>
      <c r="C48" s="13" t="n">
        <f aca="false">SUMIF($A$4:$A$39,A48,$C$4:$C$39)</f>
        <v>13</v>
      </c>
      <c r="D48" s="13"/>
      <c r="E48" s="13"/>
      <c r="F48" s="14" t="n">
        <f aca="false">SUMIF($A$4:$A$39,A48,$F$4:$F$39)</f>
        <v>6000</v>
      </c>
    </row>
    <row r="49" customFormat="false" ht="15" hidden="false" customHeight="false" outlineLevel="0" collapsed="false">
      <c r="A49" s="13" t="s">
        <v>106</v>
      </c>
      <c r="B49" s="13"/>
      <c r="C49" s="13" t="n">
        <f aca="false">SUMIF($A$4:$A$39,A49,$C$4:$C$39)</f>
        <v>6</v>
      </c>
      <c r="D49" s="13"/>
      <c r="E49" s="13"/>
      <c r="F49" s="14" t="n">
        <f aca="false">SUMIF($A$4:$A$39,A49,$F$4:$F$39)</f>
        <v>3200</v>
      </c>
    </row>
    <row r="50" customFormat="false" ht="15" hidden="false" customHeight="false" outlineLevel="0" collapsed="false">
      <c r="A50" s="7" t="s">
        <v>66</v>
      </c>
      <c r="B50" s="7"/>
      <c r="C50" s="7" t="n">
        <f aca="false">SUM(C4:C39)</f>
        <v>83</v>
      </c>
      <c r="D50" s="7"/>
      <c r="E50" s="7"/>
      <c r="F50" s="8" t="n">
        <f aca="false">SUM(F4:F39)</f>
        <v>39550</v>
      </c>
    </row>
    <row r="51" customFormat="false" ht="15" hidden="false" customHeight="false" outlineLevel="0" collapsed="false">
      <c r="A51" s="3" t="s">
        <v>67</v>
      </c>
      <c r="B51" s="3"/>
      <c r="C51" s="3"/>
      <c r="D51" s="3"/>
      <c r="E51" s="3"/>
      <c r="F51" s="6" t="n">
        <f aca="false">F50-SUM(F42:F49)</f>
        <v>0</v>
      </c>
    </row>
    <row r="52" customFormat="false" ht="15" hidden="false" customHeight="false" outlineLevel="0" collapsed="false">
      <c r="A52" s="3" t="s">
        <v>3</v>
      </c>
      <c r="B52" s="3"/>
      <c r="C52" s="3"/>
      <c r="D52" s="3"/>
      <c r="E52" s="5" t="n">
        <f aca="false">TJM!$B$15</f>
        <v>0.15</v>
      </c>
      <c r="F52" s="6" t="n">
        <f aca="false">F50*E52</f>
        <v>5932.5</v>
      </c>
    </row>
    <row r="53" customFormat="false" ht="15" hidden="false" customHeight="false" outlineLevel="0" collapsed="false">
      <c r="A53" s="7" t="s">
        <v>68</v>
      </c>
      <c r="B53" s="7"/>
      <c r="C53" s="7"/>
      <c r="D53" s="7"/>
      <c r="E53" s="7"/>
      <c r="F53" s="8" t="n">
        <f aca="false">F50+F52</f>
        <v>45482.5</v>
      </c>
    </row>
    <row r="54" customFormat="false" ht="15" hidden="false" customHeight="false" outlineLevel="0" collapsed="false">
      <c r="A54" s="3" t="s">
        <v>69</v>
      </c>
      <c r="B54" s="3"/>
      <c r="C54" s="3" t="n">
        <f aca="false">MAX(C4:C39)</f>
        <v>5</v>
      </c>
      <c r="D54" s="3"/>
      <c r="E54" s="3"/>
      <c r="F5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2" t="s">
        <v>40</v>
      </c>
      <c r="B3" s="2" t="s">
        <v>1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43</v>
      </c>
    </row>
    <row r="4" customFormat="false" ht="15" hidden="false" customHeight="false" outlineLevel="0" collapsed="false">
      <c r="A4" s="3" t="s">
        <v>115</v>
      </c>
      <c r="B4" s="3" t="s">
        <v>116</v>
      </c>
      <c r="C4" s="12" t="n">
        <v>3</v>
      </c>
      <c r="D4" s="3" t="s">
        <v>117</v>
      </c>
      <c r="E4" s="3" t="s">
        <v>19</v>
      </c>
      <c r="F4" s="4" t="n">
        <f aca="false">TJM!$B$4</f>
        <v>600</v>
      </c>
      <c r="G4" s="6" t="n">
        <f aca="false">C4*F4</f>
        <v>1800</v>
      </c>
    </row>
    <row r="5" customFormat="false" ht="15" hidden="false" customHeight="false" outlineLevel="0" collapsed="false">
      <c r="A5" s="3" t="s">
        <v>115</v>
      </c>
      <c r="B5" s="3" t="s">
        <v>118</v>
      </c>
      <c r="C5" s="12" t="n">
        <v>7</v>
      </c>
      <c r="D5" s="3" t="s">
        <v>117</v>
      </c>
      <c r="E5" s="3" t="s">
        <v>19</v>
      </c>
      <c r="F5" s="4" t="n">
        <f aca="false">TJM!$B$4</f>
        <v>600</v>
      </c>
      <c r="G5" s="6" t="n">
        <f aca="false">C5*F5</f>
        <v>4200</v>
      </c>
    </row>
    <row r="6" customFormat="false" ht="15" hidden="false" customHeight="false" outlineLevel="0" collapsed="false">
      <c r="A6" s="3" t="s">
        <v>119</v>
      </c>
      <c r="B6" s="3" t="s">
        <v>120</v>
      </c>
      <c r="C6" s="12" t="n">
        <v>12</v>
      </c>
      <c r="D6" s="3" t="s">
        <v>121</v>
      </c>
      <c r="E6" s="3" t="s">
        <v>122</v>
      </c>
      <c r="F6" s="10" t="n">
        <v>7.21</v>
      </c>
      <c r="G6" s="6" t="n">
        <f aca="false">C6*F6</f>
        <v>86.52</v>
      </c>
    </row>
    <row r="7" customFormat="false" ht="15" hidden="false" customHeight="false" outlineLevel="0" collapsed="false">
      <c r="A7" s="3" t="s">
        <v>119</v>
      </c>
      <c r="B7" s="3" t="s">
        <v>123</v>
      </c>
      <c r="C7" s="12" t="n">
        <v>12</v>
      </c>
      <c r="D7" s="3" t="s">
        <v>121</v>
      </c>
      <c r="E7" s="3" t="s">
        <v>122</v>
      </c>
      <c r="F7" s="10" t="n">
        <v>3.81</v>
      </c>
      <c r="G7" s="6" t="n">
        <f aca="false">C7*F7</f>
        <v>45.72</v>
      </c>
    </row>
    <row r="8" customFormat="false" ht="15" hidden="false" customHeight="false" outlineLevel="0" collapsed="false">
      <c r="A8" s="3" t="s">
        <v>119</v>
      </c>
      <c r="B8" s="3" t="s">
        <v>124</v>
      </c>
      <c r="C8" s="12" t="n">
        <v>4</v>
      </c>
      <c r="D8" s="3" t="s">
        <v>121</v>
      </c>
      <c r="E8" s="3" t="s">
        <v>125</v>
      </c>
      <c r="F8" s="10" t="n">
        <v>15</v>
      </c>
      <c r="G8" s="6" t="n">
        <f aca="false">C8*F8</f>
        <v>60</v>
      </c>
    </row>
    <row r="9" customFormat="false" ht="15" hidden="false" customHeight="false" outlineLevel="0" collapsed="false">
      <c r="A9" s="3" t="s">
        <v>126</v>
      </c>
      <c r="B9" s="3" t="s">
        <v>127</v>
      </c>
      <c r="C9" s="12" t="n">
        <v>1</v>
      </c>
      <c r="D9" s="3" t="s">
        <v>117</v>
      </c>
      <c r="E9" s="3" t="s">
        <v>19</v>
      </c>
      <c r="F9" s="4" t="n">
        <f aca="false">TJM!$B$4</f>
        <v>600</v>
      </c>
      <c r="G9" s="6" t="n">
        <f aca="false">C9*F9</f>
        <v>600</v>
      </c>
    </row>
    <row r="10" customFormat="false" ht="15" hidden="false" customHeight="false" outlineLevel="0" collapsed="false">
      <c r="A10" s="3" t="s">
        <v>126</v>
      </c>
      <c r="B10" s="3" t="s">
        <v>128</v>
      </c>
      <c r="C10" s="12" t="n">
        <v>0.5</v>
      </c>
      <c r="D10" s="3" t="s">
        <v>117</v>
      </c>
      <c r="E10" s="3" t="s">
        <v>19</v>
      </c>
      <c r="F10" s="4" t="n">
        <f aca="false">TJM!$B$4</f>
        <v>600</v>
      </c>
      <c r="G10" s="6" t="n">
        <f aca="false">C10*F10</f>
        <v>300</v>
      </c>
    </row>
    <row r="11" customFormat="false" ht="15" hidden="false" customHeight="false" outlineLevel="0" collapsed="false">
      <c r="A11" s="3" t="s">
        <v>126</v>
      </c>
      <c r="B11" s="3" t="s">
        <v>129</v>
      </c>
      <c r="C11" s="12" t="n">
        <v>0.5</v>
      </c>
      <c r="D11" s="3" t="s">
        <v>117</v>
      </c>
      <c r="E11" s="3" t="s">
        <v>19</v>
      </c>
      <c r="F11" s="4" t="n">
        <f aca="false">TJM!$B$4</f>
        <v>600</v>
      </c>
      <c r="G11" s="6" t="n">
        <f aca="false">C11*F11</f>
        <v>300</v>
      </c>
    </row>
    <row r="12" customFormat="false" ht="15" hidden="false" customHeight="false" outlineLevel="0" collapsed="false">
      <c r="A12" s="3" t="s">
        <v>130</v>
      </c>
      <c r="B12" s="3" t="s">
        <v>131</v>
      </c>
      <c r="C12" s="12" t="n">
        <v>3</v>
      </c>
      <c r="D12" s="3" t="s">
        <v>117</v>
      </c>
      <c r="E12" s="3" t="s">
        <v>27</v>
      </c>
      <c r="F12" s="4" t="n">
        <f aca="false">TJM!$B$8</f>
        <v>450</v>
      </c>
      <c r="G12" s="6" t="n">
        <f aca="false">C12*F12</f>
        <v>1350</v>
      </c>
    </row>
    <row r="13" customFormat="false" ht="15" hidden="false" customHeight="false" outlineLevel="0" collapsed="false">
      <c r="A13" s="3" t="s">
        <v>130</v>
      </c>
      <c r="B13" s="3" t="s">
        <v>132</v>
      </c>
      <c r="C13" s="12" t="n">
        <v>4.5</v>
      </c>
      <c r="D13" s="3" t="s">
        <v>117</v>
      </c>
      <c r="E13" s="3" t="s">
        <v>27</v>
      </c>
      <c r="F13" s="4" t="n">
        <f aca="false">TJM!$B$8</f>
        <v>450</v>
      </c>
      <c r="G13" s="6" t="n">
        <f aca="false">C13*F13</f>
        <v>2025</v>
      </c>
    </row>
    <row r="14" customFormat="false" ht="15" hidden="false" customHeight="false" outlineLevel="0" collapsed="false">
      <c r="A14" s="3" t="s">
        <v>130</v>
      </c>
      <c r="B14" s="3" t="s">
        <v>133</v>
      </c>
      <c r="C14" s="12" t="n">
        <v>4.5</v>
      </c>
      <c r="D14" s="3" t="s">
        <v>117</v>
      </c>
      <c r="E14" s="3" t="s">
        <v>27</v>
      </c>
      <c r="F14" s="4" t="n">
        <f aca="false">TJM!$B$8</f>
        <v>450</v>
      </c>
      <c r="G14" s="6" t="n">
        <f aca="false">C14*F14</f>
        <v>2025</v>
      </c>
    </row>
    <row r="15" customFormat="false" ht="15" hidden="false" customHeight="false" outlineLevel="0" collapsed="false">
      <c r="A15" s="3" t="s">
        <v>130</v>
      </c>
      <c r="B15" s="3" t="s">
        <v>134</v>
      </c>
      <c r="C15" s="12" t="n">
        <v>2</v>
      </c>
      <c r="D15" s="3" t="s">
        <v>117</v>
      </c>
      <c r="E15" s="3" t="s">
        <v>31</v>
      </c>
      <c r="F15" s="4" t="n">
        <f aca="false">TJM!$B$10</f>
        <v>550</v>
      </c>
      <c r="G15" s="6" t="n">
        <f aca="false">C15*F15</f>
        <v>1100</v>
      </c>
    </row>
    <row r="17" customFormat="false" ht="15" hidden="false" customHeight="false" outlineLevel="0" collapsed="false">
      <c r="A17" s="7" t="s">
        <v>66</v>
      </c>
      <c r="B17" s="7"/>
      <c r="C17" s="7"/>
      <c r="D17" s="7"/>
      <c r="E17" s="7"/>
      <c r="F17" s="7"/>
      <c r="G17" s="8" t="n">
        <f aca="false">SUM(G4:G15)</f>
        <v>13892.24</v>
      </c>
    </row>
    <row r="18" customFormat="false" ht="15" hidden="false" customHeight="false" outlineLevel="0" collapsed="false">
      <c r="A18" s="3" t="s">
        <v>3</v>
      </c>
      <c r="B18" s="3"/>
      <c r="C18" s="3"/>
      <c r="D18" s="3"/>
      <c r="E18" s="3"/>
      <c r="F18" s="5" t="n">
        <f aca="false">TJM!$B$16</f>
        <v>0.05</v>
      </c>
      <c r="G18" s="6" t="n">
        <f aca="false">G17*F18</f>
        <v>694.612</v>
      </c>
    </row>
    <row r="19" customFormat="false" ht="15" hidden="false" customHeight="false" outlineLevel="0" collapsed="false">
      <c r="A19" s="7" t="s">
        <v>68</v>
      </c>
      <c r="B19" s="7"/>
      <c r="C19" s="7"/>
      <c r="D19" s="7"/>
      <c r="E19" s="7"/>
      <c r="F19" s="7"/>
      <c r="G19" s="8" t="n">
        <f aca="false">G17+G18</f>
        <v>14586.852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16" min="3" style="0" width="5"/>
  </cols>
  <sheetData>
    <row r="1" customFormat="false" ht="1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2" t="s">
        <v>136</v>
      </c>
      <c r="B3" s="2" t="s">
        <v>40</v>
      </c>
      <c r="C3" s="2" t="s">
        <v>137</v>
      </c>
      <c r="D3" s="2" t="s">
        <v>138</v>
      </c>
      <c r="E3" s="2" t="s">
        <v>139</v>
      </c>
      <c r="F3" s="2" t="s">
        <v>140</v>
      </c>
      <c r="G3" s="2" t="s">
        <v>141</v>
      </c>
      <c r="H3" s="2" t="s">
        <v>142</v>
      </c>
      <c r="I3" s="2" t="s">
        <v>143</v>
      </c>
      <c r="J3" s="2" t="s">
        <v>144</v>
      </c>
      <c r="K3" s="2" t="s">
        <v>145</v>
      </c>
      <c r="L3" s="2" t="s">
        <v>146</v>
      </c>
      <c r="M3" s="2" t="s">
        <v>147</v>
      </c>
      <c r="N3" s="2" t="s">
        <v>148</v>
      </c>
      <c r="O3" s="2" t="s">
        <v>149</v>
      </c>
      <c r="P3" s="2" t="s">
        <v>150</v>
      </c>
    </row>
    <row r="4" customFormat="false" ht="15" hidden="false" customHeight="false" outlineLevel="0" collapsed="false">
      <c r="A4" s="3" t="s">
        <v>151</v>
      </c>
      <c r="B4" s="3" t="s">
        <v>44</v>
      </c>
      <c r="C4" s="1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 t="s">
        <v>151</v>
      </c>
      <c r="B5" s="3" t="s">
        <v>21</v>
      </c>
      <c r="C5" s="3"/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3" t="s">
        <v>151</v>
      </c>
      <c r="B6" s="3" t="s">
        <v>50</v>
      </c>
      <c r="C6" s="3"/>
      <c r="D6" s="3"/>
      <c r="E6" s="15"/>
      <c r="F6" s="15"/>
      <c r="G6" s="15"/>
      <c r="H6" s="3"/>
      <c r="I6" s="3"/>
      <c r="J6" s="3"/>
      <c r="K6" s="3"/>
      <c r="L6" s="3"/>
      <c r="M6" s="3"/>
      <c r="N6" s="3"/>
      <c r="O6" s="3"/>
      <c r="P6" s="3"/>
    </row>
    <row r="7" customFormat="false" ht="15" hidden="false" customHeight="false" outlineLevel="0" collapsed="false">
      <c r="A7" s="3" t="s">
        <v>151</v>
      </c>
      <c r="B7" s="3" t="s">
        <v>58</v>
      </c>
      <c r="C7" s="3"/>
      <c r="D7" s="3"/>
      <c r="E7" s="3"/>
      <c r="F7" s="3"/>
      <c r="G7" s="15"/>
      <c r="H7" s="15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false" outlineLevel="0" collapsed="false">
      <c r="A8" s="3" t="s">
        <v>151</v>
      </c>
      <c r="B8" s="3" t="s">
        <v>62</v>
      </c>
      <c r="C8" s="3"/>
      <c r="D8" s="3"/>
      <c r="E8" s="3"/>
      <c r="F8" s="3"/>
      <c r="G8" s="3"/>
      <c r="H8" s="15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false" outlineLevel="0" collapsed="false">
      <c r="A9" s="3" t="s">
        <v>152</v>
      </c>
      <c r="B9" s="3" t="s">
        <v>44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3" t="s">
        <v>152</v>
      </c>
      <c r="B10" s="3" t="s">
        <v>21</v>
      </c>
      <c r="C10" s="3"/>
      <c r="D10" s="3"/>
      <c r="E10" s="16"/>
      <c r="F10" s="16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A11" s="3" t="s">
        <v>152</v>
      </c>
      <c r="B11" s="3" t="s">
        <v>78</v>
      </c>
      <c r="C11" s="3"/>
      <c r="D11" s="3"/>
      <c r="E11" s="3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</row>
    <row r="12" customFormat="false" ht="15" hidden="false" customHeight="false" outlineLevel="0" collapsed="false">
      <c r="A12" s="3" t="s">
        <v>152</v>
      </c>
      <c r="B12" s="3" t="s">
        <v>88</v>
      </c>
      <c r="C12" s="3"/>
      <c r="D12" s="3"/>
      <c r="E12" s="3"/>
      <c r="F12" s="3"/>
      <c r="G12" s="3"/>
      <c r="H12" s="16"/>
      <c r="I12" s="16"/>
      <c r="J12" s="16"/>
      <c r="K12" s="16"/>
      <c r="L12" s="16"/>
      <c r="M12" s="3"/>
      <c r="N12" s="3"/>
      <c r="O12" s="3"/>
      <c r="P12" s="3"/>
    </row>
    <row r="13" customFormat="false" ht="15" hidden="false" customHeight="false" outlineLevel="0" collapsed="false">
      <c r="A13" s="3" t="s">
        <v>152</v>
      </c>
      <c r="B13" s="3" t="s">
        <v>96</v>
      </c>
      <c r="C13" s="3"/>
      <c r="D13" s="3"/>
      <c r="E13" s="3"/>
      <c r="F13" s="3"/>
      <c r="G13" s="3"/>
      <c r="H13" s="3"/>
      <c r="I13" s="3"/>
      <c r="J13" s="3"/>
      <c r="K13" s="3"/>
      <c r="L13" s="16"/>
      <c r="M13" s="16"/>
      <c r="N13" s="3"/>
      <c r="O13" s="3"/>
      <c r="P13" s="3"/>
    </row>
    <row r="14" customFormat="false" ht="15" hidden="false" customHeight="false" outlineLevel="0" collapsed="false">
      <c r="A14" s="3" t="s">
        <v>152</v>
      </c>
      <c r="B14" s="3" t="s">
        <v>100</v>
      </c>
      <c r="C14" s="3"/>
      <c r="D14" s="3"/>
      <c r="E14" s="3"/>
      <c r="F14" s="3"/>
      <c r="G14" s="3"/>
      <c r="H14" s="3"/>
      <c r="I14" s="3"/>
      <c r="J14" s="3"/>
      <c r="K14" s="16"/>
      <c r="L14" s="3"/>
      <c r="M14" s="3"/>
      <c r="N14" s="3"/>
      <c r="O14" s="3"/>
      <c r="P14" s="3"/>
    </row>
    <row r="15" customFormat="false" ht="15" hidden="false" customHeight="false" outlineLevel="0" collapsed="false">
      <c r="A15" s="3" t="s">
        <v>152</v>
      </c>
      <c r="B15" s="3" t="s">
        <v>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6"/>
      <c r="O15" s="16"/>
      <c r="P15" s="3"/>
    </row>
    <row r="16" customFormat="false" ht="15" hidden="false" customHeight="false" outlineLevel="0" collapsed="false">
      <c r="A16" s="3" t="s">
        <v>152</v>
      </c>
      <c r="B16" s="3" t="s">
        <v>106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6"/>
    </row>
    <row r="17" customFormat="false" ht="15" hidden="false" customHeight="false" outlineLevel="0" collapsed="false">
      <c r="A17" s="3" t="s">
        <v>8</v>
      </c>
      <c r="B17" s="3" t="s">
        <v>115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false" ht="15" hidden="false" customHeight="false" outlineLevel="0" collapsed="false">
      <c r="A18" s="3" t="s">
        <v>8</v>
      </c>
      <c r="B18" s="3" t="s">
        <v>126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7"/>
    </row>
    <row r="20" customFormat="false" ht="15" hidden="false" customHeight="false" outlineLevel="0" collapsed="false">
      <c r="A20" s="1" t="s">
        <v>153</v>
      </c>
    </row>
    <row r="21" customFormat="false" ht="15" hidden="false" customHeight="false" outlineLevel="0" collapsed="false">
      <c r="A21" s="9" t="s">
        <v>137</v>
      </c>
      <c r="B21" s="9" t="s">
        <v>154</v>
      </c>
      <c r="C21" s="18" t="s">
        <v>155</v>
      </c>
    </row>
    <row r="22" customFormat="false" ht="15" hidden="false" customHeight="false" outlineLevel="0" collapsed="false">
      <c r="A22" s="9" t="s">
        <v>138</v>
      </c>
      <c r="B22" s="9" t="s">
        <v>156</v>
      </c>
      <c r="D22" s="18" t="s">
        <v>155</v>
      </c>
    </row>
    <row r="23" customFormat="false" ht="15" hidden="false" customHeight="false" outlineLevel="0" collapsed="false">
      <c r="A23" s="9" t="s">
        <v>140</v>
      </c>
      <c r="B23" s="9" t="s">
        <v>157</v>
      </c>
      <c r="F23" s="18" t="s">
        <v>155</v>
      </c>
    </row>
    <row r="24" customFormat="false" ht="15" hidden="false" customHeight="false" outlineLevel="0" collapsed="false">
      <c r="A24" s="9" t="s">
        <v>142</v>
      </c>
      <c r="B24" s="9" t="s">
        <v>158</v>
      </c>
      <c r="H24" s="18" t="s">
        <v>155</v>
      </c>
    </row>
    <row r="25" customFormat="false" ht="15" hidden="false" customHeight="false" outlineLevel="0" collapsed="false">
      <c r="A25" s="9" t="s">
        <v>149</v>
      </c>
      <c r="B25" s="9" t="s">
        <v>159</v>
      </c>
      <c r="O25" s="18" t="s">
        <v>155</v>
      </c>
    </row>
    <row r="26" customFormat="false" ht="15" hidden="false" customHeight="false" outlineLevel="0" collapsed="false">
      <c r="A26" s="9" t="s">
        <v>150</v>
      </c>
      <c r="B26" s="9" t="s">
        <v>160</v>
      </c>
      <c r="P26" s="18" t="s">
        <v>155</v>
      </c>
    </row>
    <row r="28" customFormat="false" ht="15" hidden="false" customHeight="false" outlineLevel="0" collapsed="false">
      <c r="A28" s="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2026-09-22T10:41:00Z</dcterms:created>
  <dc:creator>Haider Rayan Boudjemeline</dc:creator>
  <dc:description/>
  <dc:language>fr-FR</dc:language>
  <cp:lastModifiedBy>Haider Rayan Boudjemeline</cp:lastModifiedBy>
  <dcterms:modified xsi:type="dcterms:W3CDTF">2026-09-22T11:24:00Z</dcterms:modified>
  <cp:revision>1</cp:revision>
  <dc:subject/>
  <dc:title>Budgétisation des deux applis Picard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