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JM" sheetId="2" state="visible" r:id="rId2"/>
    <sheet xmlns:r="http://schemas.openxmlformats.org/officeDocument/2006/relationships" name="Stocks" sheetId="3" state="visible" r:id="rId3"/>
    <sheet xmlns:r="http://schemas.openxmlformats.org/officeDocument/2006/relationships" name="Commande" sheetId="4" state="visible" r:id="rId4"/>
    <sheet xmlns:r="http://schemas.openxmlformats.org/officeDocument/2006/relationships" name="Transverse" sheetId="5" state="visible" r:id="rId5"/>
    <sheet xmlns:r="http://schemas.openxmlformats.org/officeDocument/2006/relationships" name="Planning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9BC2E6"/>
        <bgColor rgb="FFA9D18E"/>
      </patternFill>
    </fill>
    <fill>
      <patternFill patternType="solid">
        <fgColor rgb="FFA9D18E"/>
        <bgColor rgb="FF9BC2E6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9" min="1" max="1"/>
    <col width="26" customWidth="1" style="19" min="2" max="2"/>
    <col width="13" customWidth="1" style="19" min="3" max="3"/>
    <col width="24" customWidth="1" style="19" min="4" max="4"/>
    <col width="16" customWidth="1" style="19" min="5" max="5"/>
  </cols>
  <sheetData>
    <row r="1" ht="15" customHeight="1" s="20">
      <c r="A1" s="21" t="inlineStr">
        <is>
          <t>Budget interne, pas un devis. Marge commerciale non incluse.</t>
        </is>
      </c>
    </row>
    <row r="2"/>
    <row r="3" ht="15" customHeight="1" s="20">
      <c r="A3" s="22" t="inlineStr">
        <is>
          <t>Poste</t>
        </is>
      </c>
      <c r="B3" s="22" t="inlineStr">
        <is>
          <t>Sous-total HT (€)</t>
        </is>
      </c>
      <c r="C3" s="22" t="inlineStr">
        <is>
          <t>Contingence</t>
        </is>
      </c>
      <c r="D3" s="22" t="inlineStr">
        <is>
          <t>Montant contingence (€)</t>
        </is>
      </c>
      <c r="E3" s="22" t="inlineStr">
        <is>
          <t>Total HT (€)</t>
        </is>
      </c>
    </row>
    <row r="4" ht="15" customHeight="1" s="20">
      <c r="A4" s="23" t="inlineStr">
        <is>
          <t>Outil stocks</t>
        </is>
      </c>
      <c r="B4" s="24">
        <f>Stocks!F28</f>
        <v/>
      </c>
      <c r="C4" s="25">
        <f>TJM!B14</f>
        <v/>
      </c>
      <c r="D4" s="24">
        <f>Stocks!F30</f>
        <v/>
      </c>
      <c r="E4" s="26">
        <f>B4+D4</f>
        <v/>
      </c>
    </row>
    <row r="5" ht="15" customHeight="1" s="20">
      <c r="A5" s="23" t="inlineStr">
        <is>
          <t>Appli de commande</t>
        </is>
      </c>
      <c r="B5" s="24">
        <f>Commande!F50</f>
        <v/>
      </c>
      <c r="C5" s="25">
        <f>TJM!B15</f>
        <v/>
      </c>
      <c r="D5" s="24">
        <f>Commande!F52</f>
        <v/>
      </c>
      <c r="E5" s="26">
        <f>B5+D5</f>
        <v/>
      </c>
    </row>
    <row r="6" ht="15" customHeight="1" s="20">
      <c r="A6" s="23" t="inlineStr">
        <is>
          <t>Transverse</t>
        </is>
      </c>
      <c r="B6" s="24">
        <f>Transverse!G17</f>
        <v/>
      </c>
      <c r="C6" s="25">
        <f>TJM!B16</f>
        <v/>
      </c>
      <c r="D6" s="24">
        <f>Transverse!G18</f>
        <v/>
      </c>
      <c r="E6" s="26">
        <f>B6+D6</f>
        <v/>
      </c>
    </row>
    <row r="7" ht="15" customHeight="1" s="20">
      <c r="A7" s="27" t="inlineStr">
        <is>
          <t>Total HT</t>
        </is>
      </c>
      <c r="B7" s="28">
        <f>SUM(B4:B6)</f>
        <v/>
      </c>
      <c r="C7" s="27" t="n"/>
      <c r="D7" s="28">
        <f>SUM(D4:D6)</f>
        <v/>
      </c>
      <c r="E7" s="28">
        <f>SUM(E4:E6)</f>
        <v/>
      </c>
    </row>
    <row r="8" ht="15" customHeight="1" s="20">
      <c r="A8" s="23" t="inlineStr">
        <is>
          <t>TVA 20 %</t>
        </is>
      </c>
      <c r="B8" s="23" t="n"/>
      <c r="C8" s="23" t="n"/>
      <c r="D8" s="23" t="n"/>
      <c r="E8" s="26">
        <f>E7*TJM!B17</f>
        <v/>
      </c>
    </row>
    <row r="9" ht="15" customHeight="1" s="20">
      <c r="A9" s="27" t="inlineStr">
        <is>
          <t>Total TTC</t>
        </is>
      </c>
      <c r="B9" s="27" t="n"/>
      <c r="C9" s="27" t="n"/>
      <c r="D9" s="27" t="n"/>
      <c r="E9" s="28">
        <f>E7+E8</f>
        <v/>
      </c>
    </row>
    <row r="10"/>
    <row r="11" ht="15" customHeight="1" s="20">
      <c r="A11" s="29" t="inlineStr">
        <is>
          <t>Jours-homme</t>
        </is>
      </c>
      <c r="B11" s="29" t="inlineStr">
        <is>
          <t>Outil stocks</t>
        </is>
      </c>
      <c r="C11" s="29">
        <f>Stocks!C28</f>
        <v/>
      </c>
    </row>
    <row r="12" ht="15" customHeight="1" s="20">
      <c r="A12" s="29" t="n"/>
      <c r="B12" s="29" t="inlineStr">
        <is>
          <t>Appli de commande</t>
        </is>
      </c>
      <c r="C12" s="29">
        <f>Commande!C50</f>
        <v/>
      </c>
    </row>
    <row r="13" ht="15" customHeight="1" s="20">
      <c r="A13" s="29" t="n"/>
      <c r="B13" s="29" t="inlineStr">
        <is>
          <t>Transverse (j.h seulement)</t>
        </is>
      </c>
      <c r="C13" s="29">
        <f>SUMIF(Transverse!D4:D15,"j.h",Transverse!C4:C15)</f>
        <v/>
      </c>
    </row>
    <row r="14" ht="15" customHeight="1" s="20">
      <c r="A14" s="29" t="n"/>
      <c r="B14" s="29" t="inlineStr">
        <is>
          <t>Total</t>
        </is>
      </c>
      <c r="C14" s="21">
        <f>SUM(C11:C13)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9" min="1" max="1"/>
    <col width="12" customWidth="1" style="19" min="2" max="2"/>
    <col width="70" customWidth="1" style="19" min="3" max="3"/>
  </cols>
  <sheetData>
    <row r="1" ht="15" customHeight="1" s="20">
      <c r="A1" s="21" t="inlineStr">
        <is>
          <t>TJM retenus (€ HT par jour). Cellules bleues = valeurs saisies, à modifier ici.</t>
        </is>
      </c>
    </row>
    <row r="2"/>
    <row r="3" ht="15" customHeight="1" s="20">
      <c r="A3" s="22" t="inlineStr">
        <is>
          <t>Rôle</t>
        </is>
      </c>
      <c r="B3" s="22" t="inlineStr">
        <is>
          <t>TJM (€)</t>
        </is>
      </c>
      <c r="C3" s="22" t="inlineStr">
        <is>
          <t>Source</t>
        </is>
      </c>
    </row>
    <row r="4" ht="15" customHeight="1" s="20">
      <c r="A4" s="23" t="inlineStr">
        <is>
          <t>Chef de projet</t>
        </is>
      </c>
      <c r="B4" s="30" t="n">
        <v>600</v>
      </c>
      <c r="C4" s="23" t="inlineStr">
        <is>
          <t>Silkhom 2025 CDP confirmé grandes villes 500-650, TJMètre 2026 médian 600</t>
        </is>
      </c>
    </row>
    <row r="5" ht="15" customHeight="1" s="20">
      <c r="A5" s="23" t="inlineStr">
        <is>
          <t>UX/UI</t>
        </is>
      </c>
      <c r="B5" s="30" t="n">
        <v>450</v>
      </c>
      <c r="C5" s="23" t="inlineStr">
        <is>
          <t>Silkhom 2025 UX/UI confirmé grandes villes 330-450, freelance-informatique 3-4 ans 440</t>
        </is>
      </c>
    </row>
    <row r="6" ht="15" customHeight="1" s="20">
      <c r="A6" s="23" t="inlineStr">
        <is>
          <t>Dev front</t>
        </is>
      </c>
      <c r="B6" s="30" t="n">
        <v>450</v>
      </c>
      <c r="C6" s="23" t="inlineStr">
        <is>
          <t>Silkhom 2025 front JS confirmé grandes villes 350-450, haut de fourchette</t>
        </is>
      </c>
    </row>
    <row r="7" ht="15" customHeight="1" s="20">
      <c r="A7" s="23" t="inlineStr">
        <is>
          <t>Dev back</t>
        </is>
      </c>
      <c r="B7" s="30" t="n">
        <v>450</v>
      </c>
      <c r="C7" s="23" t="inlineStr">
        <is>
          <t>Malt 2026 Symfony 3-7 ans 401, 8-15 ans 523</t>
        </is>
      </c>
    </row>
    <row r="8" ht="15" customHeight="1" s="20">
      <c r="A8" s="23" t="inlineStr">
        <is>
          <t>Dev</t>
        </is>
      </c>
      <c r="B8" s="30" t="n">
        <v>450</v>
      </c>
      <c r="C8" s="23" t="inlineStr">
        <is>
          <t>même base que dev front / back</t>
        </is>
      </c>
    </row>
    <row r="9" ht="15" customHeight="1" s="20">
      <c r="A9" s="23" t="inlineStr">
        <is>
          <t>QA</t>
        </is>
      </c>
      <c r="B9" s="30" t="n">
        <v>450</v>
      </c>
      <c r="C9" s="23" t="inlineStr">
        <is>
          <t>Silkhom 2025 testeur QA confirmé grandes villes 350-450, haut de fourchette</t>
        </is>
      </c>
    </row>
    <row r="10" ht="15" customHeight="1" s="20">
      <c r="A10" s="23" t="inlineStr">
        <is>
          <t>DevOps</t>
        </is>
      </c>
      <c r="B10" s="30" t="n">
        <v>550</v>
      </c>
      <c r="C10" s="23" t="inlineStr">
        <is>
          <t>Silkhom 2025 DevOps confirmé grandes villes 450-530, TJMètre 600</t>
        </is>
      </c>
    </row>
    <row r="11" ht="15" customHeight="1" s="20">
      <c r="A11" s="23" t="inlineStr">
        <is>
          <t>Consultant RGPD</t>
        </is>
      </c>
      <c r="B11" s="30" t="n">
        <v>700</v>
      </c>
      <c r="C11" s="23" t="inlineStr">
        <is>
          <t>Free-Work 665 en direct, donneespersonnelles.fr 800-1200</t>
        </is>
      </c>
    </row>
    <row r="12"/>
    <row r="13" ht="15" customHeight="1" s="20">
      <c r="A13" s="21" t="inlineStr">
        <is>
          <t>Contingence</t>
        </is>
      </c>
    </row>
    <row r="14" ht="15" customHeight="1" s="20">
      <c r="A14" s="23" t="inlineStr">
        <is>
          <t>Contingence stocks</t>
        </is>
      </c>
      <c r="B14" s="31" t="n">
        <v>0.08</v>
      </c>
    </row>
    <row r="15" ht="15" customHeight="1" s="20">
      <c r="A15" s="23" t="inlineStr">
        <is>
          <t>Contingence commande</t>
        </is>
      </c>
      <c r="B15" s="31" t="n">
        <v>0.15</v>
      </c>
    </row>
    <row r="16" ht="15" customHeight="1" s="20">
      <c r="A16" s="23" t="inlineStr">
        <is>
          <t>Contingence Transverse</t>
        </is>
      </c>
      <c r="B16" s="31" t="n">
        <v>0.05</v>
      </c>
    </row>
    <row r="17" ht="15" customHeight="1" s="20">
      <c r="A17" s="23" t="inlineStr">
        <is>
          <t>TVA</t>
        </is>
      </c>
      <c r="B17" s="31" t="n">
        <v>0.2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9" min="1" max="1"/>
    <col width="46" customWidth="1" style="19" min="2" max="2"/>
    <col width="13" customWidth="1" style="19" min="3" max="3"/>
    <col width="18" customWidth="1" style="19" min="4" max="4"/>
    <col width="12" customWidth="1" style="19" min="5" max="5"/>
    <col width="18" customWidth="1" style="19" min="6" max="6"/>
  </cols>
  <sheetData>
    <row r="1" ht="15" customHeight="1" s="20">
      <c r="A1" s="21" t="inlineStr">
        <is>
          <t>Outil stocks, grille de coûts par lot. Charge en jours-homme, tâche de 7 j max.</t>
        </is>
      </c>
    </row>
    <row r="2"/>
    <row r="3" ht="15" customHeight="1" s="20">
      <c r="A3" s="22" t="inlineStr">
        <is>
          <t>Lot</t>
        </is>
      </c>
      <c r="B3" s="22" t="inlineStr">
        <is>
          <t>Tâche</t>
        </is>
      </c>
      <c r="C3" s="22" t="inlineStr">
        <is>
          <t>Charge (j.h)</t>
        </is>
      </c>
      <c r="D3" s="22" t="inlineStr">
        <is>
          <t>Rôle</t>
        </is>
      </c>
      <c r="E3" s="22" t="inlineStr">
        <is>
          <t>TJM (€)</t>
        </is>
      </c>
      <c r="F3" s="22" t="inlineStr">
        <is>
          <t>Sous-total (€ HT)</t>
        </is>
      </c>
    </row>
    <row r="4" ht="15" customHeight="1" s="20">
      <c r="A4" s="23" t="inlineStr">
        <is>
          <t>Cadrage</t>
        </is>
      </c>
      <c r="B4" s="23" t="inlineStr">
        <is>
          <t>Atelier de lancement avec Picard</t>
        </is>
      </c>
      <c r="C4" s="32" t="n">
        <v>1</v>
      </c>
      <c r="D4" s="23" t="inlineStr">
        <is>
          <t>Chef de projet</t>
        </is>
      </c>
      <c r="E4" s="24">
        <f>TJM!$B$4</f>
        <v/>
      </c>
      <c r="F4" s="26">
        <f>C4*E4</f>
        <v/>
      </c>
    </row>
    <row r="5" ht="15" customHeight="1" s="20">
      <c r="A5" s="23" t="inlineStr">
        <is>
          <t>Cadrage</t>
        </is>
      </c>
      <c r="B5" s="23" t="inlineStr">
        <is>
          <t>Spécification courte et backlog</t>
        </is>
      </c>
      <c r="C5" s="32" t="n">
        <v>2</v>
      </c>
      <c r="D5" s="23" t="inlineStr">
        <is>
          <t>Chef de projet</t>
        </is>
      </c>
      <c r="E5" s="24">
        <f>TJM!$B$4</f>
        <v/>
      </c>
      <c r="F5" s="26">
        <f>C5*E5</f>
        <v/>
      </c>
    </row>
    <row r="6" ht="15" customHeight="1" s="20">
      <c r="A6" s="23" t="inlineStr">
        <is>
          <t>Cadrage</t>
        </is>
      </c>
      <c r="B6" s="23" t="inlineStr">
        <is>
          <t>Choix techniques et squelette de projet</t>
        </is>
      </c>
      <c r="C6" s="32" t="n">
        <v>1</v>
      </c>
      <c r="D6" s="23" t="inlineStr">
        <is>
          <t>Dev front</t>
        </is>
      </c>
      <c r="E6" s="24">
        <f>TJM!$B$6</f>
        <v/>
      </c>
      <c r="F6" s="26">
        <f>C6*E6</f>
        <v/>
      </c>
    </row>
    <row r="7" ht="15" customHeight="1" s="20">
      <c r="A7" s="23" t="inlineStr">
        <is>
          <t>UX/UI</t>
        </is>
      </c>
      <c r="B7" s="23" t="inlineStr">
        <is>
          <t>Parcours et wireframes</t>
        </is>
      </c>
      <c r="C7" s="32" t="n">
        <v>1</v>
      </c>
      <c r="D7" s="23" t="inlineStr">
        <is>
          <t>UX/UI</t>
        </is>
      </c>
      <c r="E7" s="24">
        <f>TJM!$B$5</f>
        <v/>
      </c>
      <c r="F7" s="26">
        <f>C7*E7</f>
        <v/>
      </c>
    </row>
    <row r="8" ht="15" customHeight="1" s="20">
      <c r="A8" s="23" t="inlineStr">
        <is>
          <t>UX/UI</t>
        </is>
      </c>
      <c r="B8" s="23" t="inlineStr">
        <is>
          <t>Maquettes des écrans (liste, fiche, formulaire, stock)</t>
        </is>
      </c>
      <c r="C8" s="32" t="n">
        <v>2</v>
      </c>
      <c r="D8" s="23" t="inlineStr">
        <is>
          <t>UX/UI</t>
        </is>
      </c>
      <c r="E8" s="24">
        <f>TJM!$B$5</f>
        <v/>
      </c>
      <c r="F8" s="26">
        <f>C8*E8</f>
        <v/>
      </c>
    </row>
    <row r="9" ht="15" customHeight="1" s="20">
      <c r="A9" s="23" t="inlineStr">
        <is>
          <t>Front TypeScript</t>
        </is>
      </c>
      <c r="B9" s="23" t="inlineStr">
        <is>
          <t>Interfaces et types produit</t>
        </is>
      </c>
      <c r="C9" s="32" t="n">
        <v>1</v>
      </c>
      <c r="D9" s="23" t="inlineStr">
        <is>
          <t>Dev front</t>
        </is>
      </c>
      <c r="E9" s="24">
        <f>TJM!$B$6</f>
        <v/>
      </c>
      <c r="F9" s="26">
        <f>C9*E9</f>
        <v/>
      </c>
    </row>
    <row r="10" ht="15" customHeight="1" s="20">
      <c r="A10" s="23" t="inlineStr">
        <is>
          <t>Front TypeScript</t>
        </is>
      </c>
      <c r="B10" s="23" t="inlineStr">
        <is>
          <t>Ajout et suppression de produit</t>
        </is>
      </c>
      <c r="C10" s="32" t="n">
        <v>2</v>
      </c>
      <c r="D10" s="23" t="inlineStr">
        <is>
          <t>Dev front</t>
        </is>
      </c>
      <c r="E10" s="24">
        <f>TJM!$B$6</f>
        <v/>
      </c>
      <c r="F10" s="26">
        <f>C10*E10</f>
        <v/>
      </c>
    </row>
    <row r="11" ht="15" customHeight="1" s="20">
      <c r="A11" s="23" t="inlineStr">
        <is>
          <t>Front TypeScript</t>
        </is>
      </c>
      <c r="B11" s="23" t="inlineStr">
        <is>
          <t>Gestion des quantités et de la disponibilité</t>
        </is>
      </c>
      <c r="C11" s="32" t="n">
        <v>2</v>
      </c>
      <c r="D11" s="23" t="inlineStr">
        <is>
          <t>Dev front</t>
        </is>
      </c>
      <c r="E11" s="24">
        <f>TJM!$B$6</f>
        <v/>
      </c>
      <c r="F11" s="26">
        <f>C11*E11</f>
        <v/>
      </c>
    </row>
    <row r="12" ht="15" customHeight="1" s="20">
      <c r="A12" s="23" t="inlineStr">
        <is>
          <t>Front TypeScript</t>
        </is>
      </c>
      <c r="B12" s="23" t="inlineStr">
        <is>
          <t>Liste, tri et filtres</t>
        </is>
      </c>
      <c r="C12" s="32" t="n">
        <v>2</v>
      </c>
      <c r="D12" s="23" t="inlineStr">
        <is>
          <t>Dev front</t>
        </is>
      </c>
      <c r="E12" s="24">
        <f>TJM!$B$6</f>
        <v/>
      </c>
      <c r="F12" s="26">
        <f>C12*E12</f>
        <v/>
      </c>
    </row>
    <row r="13" ht="15" customHeight="1" s="20">
      <c r="A13" s="23" t="inlineStr">
        <is>
          <t>Front TypeScript</t>
        </is>
      </c>
      <c r="B13" s="23" t="inlineStr">
        <is>
          <t>Validation des saisies</t>
        </is>
      </c>
      <c r="C13" s="32" t="n">
        <v>2</v>
      </c>
      <c r="D13" s="23" t="inlineStr">
        <is>
          <t>Dev front</t>
        </is>
      </c>
      <c r="E13" s="24">
        <f>TJM!$B$6</f>
        <v/>
      </c>
      <c r="F13" s="26">
        <f>C13*E13</f>
        <v/>
      </c>
    </row>
    <row r="14" ht="15" customHeight="1" s="20">
      <c r="A14" s="23" t="inlineStr">
        <is>
          <t>Front TypeScript</t>
        </is>
      </c>
      <c r="B14" s="23" t="inlineStr">
        <is>
          <t>Illustration et stockage local</t>
        </is>
      </c>
      <c r="C14" s="32" t="n">
        <v>1</v>
      </c>
      <c r="D14" s="23" t="inlineStr">
        <is>
          <t>Dev front</t>
        </is>
      </c>
      <c r="E14" s="24">
        <f>TJM!$B$6</f>
        <v/>
      </c>
      <c r="F14" s="26">
        <f>C14*E14</f>
        <v/>
      </c>
    </row>
    <row r="15" ht="15" customHeight="1" s="20">
      <c r="A15" s="23" t="inlineStr">
        <is>
          <t>Front TypeScript</t>
        </is>
      </c>
      <c r="B15" s="23" t="inlineStr">
        <is>
          <t>Intégration des maquettes (Bootstrap)</t>
        </is>
      </c>
      <c r="C15" s="32" t="n">
        <v>2</v>
      </c>
      <c r="D15" s="23" t="inlineStr">
        <is>
          <t>Dev front</t>
        </is>
      </c>
      <c r="E15" s="24">
        <f>TJM!$B$6</f>
        <v/>
      </c>
      <c r="F15" s="26">
        <f>C15*E15</f>
        <v/>
      </c>
    </row>
    <row r="16" ht="15" customHeight="1" s="20">
      <c r="A16" s="23" t="inlineStr">
        <is>
          <t>Recette</t>
        </is>
      </c>
      <c r="B16" s="23" t="inlineStr">
        <is>
          <t>Plan de test</t>
        </is>
      </c>
      <c r="C16" s="32" t="n">
        <v>1</v>
      </c>
      <c r="D16" s="23" t="inlineStr">
        <is>
          <t>QA</t>
        </is>
      </c>
      <c r="E16" s="24">
        <f>TJM!$B$9</f>
        <v/>
      </c>
      <c r="F16" s="26">
        <f>C16*E16</f>
        <v/>
      </c>
    </row>
    <row r="17" ht="15" customHeight="1" s="20">
      <c r="A17" s="23" t="inlineStr">
        <is>
          <t>Recette</t>
        </is>
      </c>
      <c r="B17" s="23" t="inlineStr">
        <is>
          <t>Campagne de test</t>
        </is>
      </c>
      <c r="C17" s="32" t="n">
        <v>2</v>
      </c>
      <c r="D17" s="23" t="inlineStr">
        <is>
          <t>QA</t>
        </is>
      </c>
      <c r="E17" s="24">
        <f>TJM!$B$9</f>
        <v/>
      </c>
      <c r="F17" s="26">
        <f>C17*E17</f>
        <v/>
      </c>
    </row>
    <row r="18" ht="15" customHeight="1" s="20">
      <c r="A18" s="23" t="inlineStr">
        <is>
          <t>Recette</t>
        </is>
      </c>
      <c r="B18" s="23" t="inlineStr">
        <is>
          <t>Corrections</t>
        </is>
      </c>
      <c r="C18" s="32" t="n">
        <v>2</v>
      </c>
      <c r="D18" s="23" t="inlineStr">
        <is>
          <t>Dev front</t>
        </is>
      </c>
      <c r="E18" s="24">
        <f>TJM!$B$6</f>
        <v/>
      </c>
      <c r="F18" s="26">
        <f>C18*E18</f>
        <v/>
      </c>
    </row>
    <row r="19" ht="15" customHeight="1" s="20">
      <c r="A19" s="23" t="inlineStr">
        <is>
          <t>Mise en prod</t>
        </is>
      </c>
      <c r="B19" s="23" t="inlineStr">
        <is>
          <t>Build et déploiement statique</t>
        </is>
      </c>
      <c r="C19" s="32" t="n">
        <v>1</v>
      </c>
      <c r="D19" s="23" t="inlineStr">
        <is>
          <t>DevOps</t>
        </is>
      </c>
      <c r="E19" s="24">
        <f>TJM!$B$10</f>
        <v/>
      </c>
      <c r="F19" s="26">
        <f>C19*E19</f>
        <v/>
      </c>
    </row>
    <row r="20" ht="15" customHeight="1" s="20">
      <c r="A20" s="23" t="inlineStr">
        <is>
          <t>Mise en prod</t>
        </is>
      </c>
      <c r="B20" s="23" t="inlineStr">
        <is>
          <t>Documentation et passation</t>
        </is>
      </c>
      <c r="C20" s="32" t="n">
        <v>1</v>
      </c>
      <c r="D20" s="23" t="inlineStr">
        <is>
          <t>Dev front</t>
        </is>
      </c>
      <c r="E20" s="24">
        <f>TJM!$B$6</f>
        <v/>
      </c>
      <c r="F20" s="26">
        <f>C20*E20</f>
        <v/>
      </c>
    </row>
    <row r="21"/>
    <row r="22" ht="15" customHeight="1" s="20">
      <c r="A22" s="21" t="inlineStr">
        <is>
          <t>Sous-totaux par lot</t>
        </is>
      </c>
    </row>
    <row r="23" ht="15" customHeight="1" s="20">
      <c r="A23" s="33" t="inlineStr">
        <is>
          <t>Cadrage</t>
        </is>
      </c>
      <c r="B23" s="33" t="n"/>
      <c r="C23" s="33">
        <f>SUMIF($A$4:$A$20,A23,$C$4:$C$20)</f>
        <v/>
      </c>
      <c r="D23" s="33" t="n"/>
      <c r="E23" s="33" t="n"/>
      <c r="F23" s="34">
        <f>SUMIF($A$4:$A$20,A23,$F$4:$F$20)</f>
        <v/>
      </c>
    </row>
    <row r="24" ht="15" customHeight="1" s="20">
      <c r="A24" s="33" t="inlineStr">
        <is>
          <t>UX/UI</t>
        </is>
      </c>
      <c r="B24" s="33" t="n"/>
      <c r="C24" s="33">
        <f>SUMIF($A$4:$A$20,A24,$C$4:$C$20)</f>
        <v/>
      </c>
      <c r="D24" s="33" t="n"/>
      <c r="E24" s="33" t="n"/>
      <c r="F24" s="34">
        <f>SUMIF($A$4:$A$20,A24,$F$4:$F$20)</f>
        <v/>
      </c>
    </row>
    <row r="25" ht="15" customHeight="1" s="20">
      <c r="A25" s="33" t="inlineStr">
        <is>
          <t>Front TypeScript</t>
        </is>
      </c>
      <c r="B25" s="33" t="n"/>
      <c r="C25" s="33">
        <f>SUMIF($A$4:$A$20,A25,$C$4:$C$20)</f>
        <v/>
      </c>
      <c r="D25" s="33" t="n"/>
      <c r="E25" s="33" t="n"/>
      <c r="F25" s="34">
        <f>SUMIF($A$4:$A$20,A25,$F$4:$F$20)</f>
        <v/>
      </c>
    </row>
    <row r="26" ht="15" customHeight="1" s="20">
      <c r="A26" s="33" t="inlineStr">
        <is>
          <t>Recette</t>
        </is>
      </c>
      <c r="B26" s="33" t="n"/>
      <c r="C26" s="33">
        <f>SUMIF($A$4:$A$20,A26,$C$4:$C$20)</f>
        <v/>
      </c>
      <c r="D26" s="33" t="n"/>
      <c r="E26" s="33" t="n"/>
      <c r="F26" s="34">
        <f>SUMIF($A$4:$A$20,A26,$F$4:$F$20)</f>
        <v/>
      </c>
    </row>
    <row r="27" ht="15" customHeight="1" s="20">
      <c r="A27" s="33" t="inlineStr">
        <is>
          <t>Mise en prod</t>
        </is>
      </c>
      <c r="B27" s="33" t="n"/>
      <c r="C27" s="33">
        <f>SUMIF($A$4:$A$20,A27,$C$4:$C$20)</f>
        <v/>
      </c>
      <c r="D27" s="33" t="n"/>
      <c r="E27" s="33" t="n"/>
      <c r="F27" s="34">
        <f>SUMIF($A$4:$A$20,A27,$F$4:$F$20)</f>
        <v/>
      </c>
    </row>
    <row r="28" ht="15" customHeight="1" s="20">
      <c r="A28" s="27" t="inlineStr">
        <is>
          <t>Total avant contingence</t>
        </is>
      </c>
      <c r="B28" s="27" t="n"/>
      <c r="C28" s="27">
        <f>SUM(C4:C20)</f>
        <v/>
      </c>
      <c r="D28" s="27" t="n"/>
      <c r="E28" s="27" t="n"/>
      <c r="F28" s="28">
        <f>SUM(F4:F20)</f>
        <v/>
      </c>
    </row>
    <row r="29" ht="15" customHeight="1" s="20">
      <c r="A29" s="23" t="inlineStr">
        <is>
          <t>Contrôle sous-totaux (doit être 0)</t>
        </is>
      </c>
      <c r="B29" s="23" t="n"/>
      <c r="C29" s="23" t="n"/>
      <c r="D29" s="23" t="n"/>
      <c r="E29" s="23" t="n"/>
      <c r="F29" s="26">
        <f>F28-SUM(F23:F27)</f>
        <v/>
      </c>
    </row>
    <row r="30" ht="15" customHeight="1" s="20">
      <c r="A30" s="23" t="inlineStr">
        <is>
          <t>Contingence</t>
        </is>
      </c>
      <c r="B30" s="23" t="n"/>
      <c r="C30" s="23" t="n"/>
      <c r="D30" s="23" t="n"/>
      <c r="E30" s="25">
        <f>TJM!$B$14</f>
        <v/>
      </c>
      <c r="F30" s="26">
        <f>F28*E30</f>
        <v/>
      </c>
    </row>
    <row r="31" ht="15" customHeight="1" s="20">
      <c r="A31" s="27" t="inlineStr">
        <is>
          <t>Total HT avec contingence</t>
        </is>
      </c>
      <c r="B31" s="27" t="n"/>
      <c r="C31" s="27" t="n"/>
      <c r="D31" s="27" t="n"/>
      <c r="E31" s="27" t="n"/>
      <c r="F31" s="28">
        <f>F28+F30</f>
        <v/>
      </c>
    </row>
    <row r="32" ht="15" customHeight="1" s="20">
      <c r="A32" s="23" t="inlineStr">
        <is>
          <t>Tâche la plus longue (j.h)</t>
        </is>
      </c>
      <c r="B32" s="23" t="n"/>
      <c r="C32" s="23">
        <f>MAX(C4:C20)</f>
        <v/>
      </c>
      <c r="D32" s="23" t="n"/>
      <c r="E32" s="23" t="n"/>
      <c r="F32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9" min="1" max="1"/>
    <col width="46" customWidth="1" style="19" min="2" max="2"/>
    <col width="13" customWidth="1" style="19" min="3" max="3"/>
    <col width="18" customWidth="1" style="19" min="4" max="4"/>
    <col width="12" customWidth="1" style="19" min="5" max="5"/>
    <col width="18" customWidth="1" style="19" min="6" max="6"/>
  </cols>
  <sheetData>
    <row r="1" ht="15" customHeight="1" s="20">
      <c r="A1" s="21" t="inlineStr">
        <is>
          <t>Appli de commande, grille de coûts par lot. Charge en jours-homme, tâche de 7 j max.</t>
        </is>
      </c>
    </row>
    <row r="2"/>
    <row r="3" ht="15" customHeight="1" s="20">
      <c r="A3" s="22" t="inlineStr">
        <is>
          <t>Lot</t>
        </is>
      </c>
      <c r="B3" s="22" t="inlineStr">
        <is>
          <t>Tâche</t>
        </is>
      </c>
      <c r="C3" s="22" t="inlineStr">
        <is>
          <t>Charge (j.h)</t>
        </is>
      </c>
      <c r="D3" s="22" t="inlineStr">
        <is>
          <t>Rôle</t>
        </is>
      </c>
      <c r="E3" s="22" t="inlineStr">
        <is>
          <t>TJM (€)</t>
        </is>
      </c>
      <c r="F3" s="22" t="inlineStr">
        <is>
          <t>Sous-total (€ HT)</t>
        </is>
      </c>
    </row>
    <row r="4" ht="15" customHeight="1" s="20">
      <c r="A4" s="23" t="inlineStr">
        <is>
          <t>Cadrage</t>
        </is>
      </c>
      <c r="B4" s="23" t="inlineStr">
        <is>
          <t>Atelier de lancement avec Picard</t>
        </is>
      </c>
      <c r="C4" s="32" t="n">
        <v>1</v>
      </c>
      <c r="D4" s="23" t="inlineStr">
        <is>
          <t>Chef de projet</t>
        </is>
      </c>
      <c r="E4" s="24">
        <f>TJM!$B$4</f>
        <v/>
      </c>
      <c r="F4" s="26">
        <f>C4*E4</f>
        <v/>
      </c>
    </row>
    <row r="5" ht="15" customHeight="1" s="20">
      <c r="A5" s="23" t="inlineStr">
        <is>
          <t>Cadrage</t>
        </is>
      </c>
      <c r="B5" s="23" t="inlineStr">
        <is>
          <t>Spécification fonctionnelle</t>
        </is>
      </c>
      <c r="C5" s="32" t="n">
        <v>3</v>
      </c>
      <c r="D5" s="23" t="inlineStr">
        <is>
          <t>Chef de projet</t>
        </is>
      </c>
      <c r="E5" s="24">
        <f>TJM!$B$4</f>
        <v/>
      </c>
      <c r="F5" s="26">
        <f>C5*E5</f>
        <v/>
      </c>
    </row>
    <row r="6" ht="15" customHeight="1" s="20">
      <c r="A6" s="23" t="inlineStr">
        <is>
          <t>Cadrage</t>
        </is>
      </c>
      <c r="B6" s="23" t="inlineStr">
        <is>
          <t>Règles de paiement et de fidélité avec Picard</t>
        </is>
      </c>
      <c r="C6" s="32" t="n">
        <v>1</v>
      </c>
      <c r="D6" s="23" t="inlineStr">
        <is>
          <t>Chef de projet</t>
        </is>
      </c>
      <c r="E6" s="24">
        <f>TJM!$B$4</f>
        <v/>
      </c>
      <c r="F6" s="26">
        <f>C6*E6</f>
        <v/>
      </c>
    </row>
    <row r="7" ht="15" customHeight="1" s="20">
      <c r="A7" s="23" t="inlineStr">
        <is>
          <t>Cadrage</t>
        </is>
      </c>
      <c r="B7" s="23" t="inlineStr">
        <is>
          <t>Backlog et découpage en sprints</t>
        </is>
      </c>
      <c r="C7" s="32" t="n">
        <v>2</v>
      </c>
      <c r="D7" s="23" t="inlineStr">
        <is>
          <t>Chef de projet</t>
        </is>
      </c>
      <c r="E7" s="24">
        <f>TJM!$B$4</f>
        <v/>
      </c>
      <c r="F7" s="26">
        <f>C7*E7</f>
        <v/>
      </c>
    </row>
    <row r="8" ht="15" customHeight="1" s="20">
      <c r="A8" s="23" t="inlineStr">
        <is>
          <t>UX/UI</t>
        </is>
      </c>
      <c r="B8" s="23" t="inlineStr">
        <is>
          <t>Parcours utilisateur (borne et téléphone)</t>
        </is>
      </c>
      <c r="C8" s="32" t="n">
        <v>2</v>
      </c>
      <c r="D8" s="23" t="inlineStr">
        <is>
          <t>UX/UI</t>
        </is>
      </c>
      <c r="E8" s="24">
        <f>TJM!$B$5</f>
        <v/>
      </c>
      <c r="F8" s="26">
        <f>C8*E8</f>
        <v/>
      </c>
    </row>
    <row r="9" ht="15" customHeight="1" s="20">
      <c r="A9" s="23" t="inlineStr">
        <is>
          <t>UX/UI</t>
        </is>
      </c>
      <c r="B9" s="23" t="inlineStr">
        <is>
          <t>Maquettes catalogue et commande</t>
        </is>
      </c>
      <c r="C9" s="32" t="n">
        <v>3</v>
      </c>
      <c r="D9" s="23" t="inlineStr">
        <is>
          <t>UX/UI</t>
        </is>
      </c>
      <c r="E9" s="24">
        <f>TJM!$B$5</f>
        <v/>
      </c>
      <c r="F9" s="26">
        <f>C9*E9</f>
        <v/>
      </c>
    </row>
    <row r="10" ht="15" customHeight="1" s="20">
      <c r="A10" s="23" t="inlineStr">
        <is>
          <t>UX/UI</t>
        </is>
      </c>
      <c r="B10" s="23" t="inlineStr">
        <is>
          <t>Maquettes paiement, compte et historique</t>
        </is>
      </c>
      <c r="C10" s="32" t="n">
        <v>3</v>
      </c>
      <c r="D10" s="23" t="inlineStr">
        <is>
          <t>UX/UI</t>
        </is>
      </c>
      <c r="E10" s="24">
        <f>TJM!$B$5</f>
        <v/>
      </c>
      <c r="F10" s="26">
        <f>C10*E10</f>
        <v/>
      </c>
    </row>
    <row r="11" ht="15" customHeight="1" s="20">
      <c r="A11" s="23" t="inlineStr">
        <is>
          <t>UX/UI</t>
        </is>
      </c>
      <c r="B11" s="23" t="inlineStr">
        <is>
          <t>Mini design system</t>
        </is>
      </c>
      <c r="C11" s="32" t="n">
        <v>1</v>
      </c>
      <c r="D11" s="23" t="inlineStr">
        <is>
          <t>UX/UI</t>
        </is>
      </c>
      <c r="E11" s="24">
        <f>TJM!$B$5</f>
        <v/>
      </c>
      <c r="F11" s="26">
        <f>C11*E11</f>
        <v/>
      </c>
    </row>
    <row r="12" ht="15" customHeight="1" s="20">
      <c r="A12" s="23" t="inlineStr">
        <is>
          <t>Back Symfony</t>
        </is>
      </c>
      <c r="B12" s="23" t="inlineStr">
        <is>
          <t>Setup projet, Docker, authentification JWT</t>
        </is>
      </c>
      <c r="C12" s="32" t="n">
        <v>3</v>
      </c>
      <c r="D12" s="23" t="inlineStr">
        <is>
          <t>Dev back</t>
        </is>
      </c>
      <c r="E12" s="24">
        <f>TJM!$B$7</f>
        <v/>
      </c>
      <c r="F12" s="26">
        <f>C12*E12</f>
        <v/>
      </c>
    </row>
    <row r="13" ht="15" customHeight="1" s="20">
      <c r="A13" s="23" t="inlineStr">
        <is>
          <t>Back Symfony</t>
        </is>
      </c>
      <c r="B13" s="23" t="inlineStr">
        <is>
          <t>Modèle de données et migrations</t>
        </is>
      </c>
      <c r="C13" s="32" t="n">
        <v>2</v>
      </c>
      <c r="D13" s="23" t="inlineStr">
        <is>
          <t>Dev back</t>
        </is>
      </c>
      <c r="E13" s="24">
        <f>TJM!$B$7</f>
        <v/>
      </c>
      <c r="F13" s="26">
        <f>C13*E13</f>
        <v/>
      </c>
    </row>
    <row r="14" ht="15" customHeight="1" s="20">
      <c r="A14" s="23" t="inlineStr">
        <is>
          <t>Back Symfony</t>
        </is>
      </c>
      <c r="B14" s="23" t="inlineStr">
        <is>
          <t>API produits</t>
        </is>
      </c>
      <c r="C14" s="32" t="n">
        <v>2</v>
      </c>
      <c r="D14" s="23" t="inlineStr">
        <is>
          <t>Dev back</t>
        </is>
      </c>
      <c r="E14" s="24">
        <f>TJM!$B$7</f>
        <v/>
      </c>
      <c r="F14" s="26">
        <f>C14*E14</f>
        <v/>
      </c>
    </row>
    <row r="15" ht="15" customHeight="1" s="20">
      <c r="A15" s="23" t="inlineStr">
        <is>
          <t>Back Symfony</t>
        </is>
      </c>
      <c r="B15" s="23" t="inlineStr">
        <is>
          <t>API commande et calcul du total</t>
        </is>
      </c>
      <c r="C15" s="32" t="n">
        <v>3</v>
      </c>
      <c r="D15" s="23" t="inlineStr">
        <is>
          <t>Dev back</t>
        </is>
      </c>
      <c r="E15" s="24">
        <f>TJM!$B$7</f>
        <v/>
      </c>
      <c r="F15" s="26">
        <f>C15*E15</f>
        <v/>
      </c>
    </row>
    <row r="16" ht="15" customHeight="1" s="20">
      <c r="A16" s="23" t="inlineStr">
        <is>
          <t>Back Symfony</t>
        </is>
      </c>
      <c r="B16" s="23" t="inlineStr">
        <is>
          <t>Validation carte côté serveur (Luhn, expiration)</t>
        </is>
      </c>
      <c r="C16" s="32" t="n">
        <v>1</v>
      </c>
      <c r="D16" s="23" t="inlineStr">
        <is>
          <t>Dev back</t>
        </is>
      </c>
      <c r="E16" s="24">
        <f>TJM!$B$7</f>
        <v/>
      </c>
      <c r="F16" s="26">
        <f>C16*E16</f>
        <v/>
      </c>
    </row>
    <row r="17" ht="15" customHeight="1" s="20">
      <c r="A17" s="23" t="inlineStr">
        <is>
          <t>Back Symfony</t>
        </is>
      </c>
      <c r="B17" s="23" t="inlineStr">
        <is>
          <t>API compte fidélité et points</t>
        </is>
      </c>
      <c r="C17" s="32" t="n">
        <v>2</v>
      </c>
      <c r="D17" s="23" t="inlineStr">
        <is>
          <t>Dev back</t>
        </is>
      </c>
      <c r="E17" s="24">
        <f>TJM!$B$7</f>
        <v/>
      </c>
      <c r="F17" s="26">
        <f>C17*E17</f>
        <v/>
      </c>
    </row>
    <row r="18" ht="15" customHeight="1" s="20">
      <c r="A18" s="23" t="inlineStr">
        <is>
          <t>Back Symfony</t>
        </is>
      </c>
      <c r="B18" s="23" t="inlineStr">
        <is>
          <t>API historique des commandes</t>
        </is>
      </c>
      <c r="C18" s="32" t="n">
        <v>1</v>
      </c>
      <c r="D18" s="23" t="inlineStr">
        <is>
          <t>Dev back</t>
        </is>
      </c>
      <c r="E18" s="24">
        <f>TJM!$B$7</f>
        <v/>
      </c>
      <c r="F18" s="26">
        <f>C18*E18</f>
        <v/>
      </c>
    </row>
    <row r="19" ht="15" customHeight="1" s="20">
      <c r="A19" s="23" t="inlineStr">
        <is>
          <t>Back Symfony</t>
        </is>
      </c>
      <c r="B19" s="23" t="inlineStr">
        <is>
          <t>Seeders et jeu de données</t>
        </is>
      </c>
      <c r="C19" s="32" t="n">
        <v>1</v>
      </c>
      <c r="D19" s="23" t="inlineStr">
        <is>
          <t>Dev back</t>
        </is>
      </c>
      <c r="E19" s="24">
        <f>TJM!$B$7</f>
        <v/>
      </c>
      <c r="F19" s="26">
        <f>C19*E19</f>
        <v/>
      </c>
    </row>
    <row r="20" ht="15" customHeight="1" s="20">
      <c r="A20" s="23" t="inlineStr">
        <is>
          <t>Back Symfony</t>
        </is>
      </c>
      <c r="B20" s="23" t="inlineStr">
        <is>
          <t>Tests automatisés</t>
        </is>
      </c>
      <c r="C20" s="32" t="n">
        <v>2</v>
      </c>
      <c r="D20" s="23" t="inlineStr">
        <is>
          <t>Dev back</t>
        </is>
      </c>
      <c r="E20" s="24">
        <f>TJM!$B$7</f>
        <v/>
      </c>
      <c r="F20" s="26">
        <f>C20*E20</f>
        <v/>
      </c>
    </row>
    <row r="21" ht="15" customHeight="1" s="20">
      <c r="A21" s="23" t="inlineStr">
        <is>
          <t>Back Symfony</t>
        </is>
      </c>
      <c r="B21" s="23" t="inlineStr">
        <is>
          <t>Contrat d'API (OpenAPI) et mocks</t>
        </is>
      </c>
      <c r="C21" s="32" t="n">
        <v>2</v>
      </c>
      <c r="D21" s="23" t="inlineStr">
        <is>
          <t>Dev back</t>
        </is>
      </c>
      <c r="E21" s="24">
        <f>TJM!$B$7</f>
        <v/>
      </c>
      <c r="F21" s="26">
        <f>C21*E21</f>
        <v/>
      </c>
    </row>
    <row r="22" ht="15" customHeight="1" s="20">
      <c r="A22" s="23" t="inlineStr">
        <is>
          <t>Front React</t>
        </is>
      </c>
      <c r="B22" s="23" t="inlineStr">
        <is>
          <t>Setup, routing, gestion d'état</t>
        </is>
      </c>
      <c r="C22" s="32" t="n">
        <v>2</v>
      </c>
      <c r="D22" s="23" t="inlineStr">
        <is>
          <t>Dev front</t>
        </is>
      </c>
      <c r="E22" s="24">
        <f>TJM!$B$6</f>
        <v/>
      </c>
      <c r="F22" s="26">
        <f>C22*E22</f>
        <v/>
      </c>
    </row>
    <row r="23" ht="15" customHeight="1" s="20">
      <c r="A23" s="23" t="inlineStr">
        <is>
          <t>Front React</t>
        </is>
      </c>
      <c r="B23" s="23" t="inlineStr">
        <is>
          <t>Catalogue produits</t>
        </is>
      </c>
      <c r="C23" s="32" t="n">
        <v>3</v>
      </c>
      <c r="D23" s="23" t="inlineStr">
        <is>
          <t>Dev front</t>
        </is>
      </c>
      <c r="E23" s="24">
        <f>TJM!$B$6</f>
        <v/>
      </c>
      <c r="F23" s="26">
        <f>C23*E23</f>
        <v/>
      </c>
    </row>
    <row r="24" ht="15" customHeight="1" s="20">
      <c r="A24" s="23" t="inlineStr">
        <is>
          <t>Front React</t>
        </is>
      </c>
      <c r="B24" s="23" t="inlineStr">
        <is>
          <t>Panier et tunnel de commande</t>
        </is>
      </c>
      <c r="C24" s="32" t="n">
        <v>4</v>
      </c>
      <c r="D24" s="23" t="inlineStr">
        <is>
          <t>Dev front</t>
        </is>
      </c>
      <c r="E24" s="24">
        <f>TJM!$B$6</f>
        <v/>
      </c>
      <c r="F24" s="26">
        <f>C24*E24</f>
        <v/>
      </c>
    </row>
    <row r="25" ht="15" customHeight="1" s="20">
      <c r="A25" s="23" t="inlineStr">
        <is>
          <t>Front React</t>
        </is>
      </c>
      <c r="B25" s="23" t="inlineStr">
        <is>
          <t>Formulaire de paiement et validation carte</t>
        </is>
      </c>
      <c r="C25" s="32" t="n">
        <v>3</v>
      </c>
      <c r="D25" s="23" t="inlineStr">
        <is>
          <t>Dev front</t>
        </is>
      </c>
      <c r="E25" s="24">
        <f>TJM!$B$6</f>
        <v/>
      </c>
      <c r="F25" s="26">
        <f>C25*E25</f>
        <v/>
      </c>
    </row>
    <row r="26" ht="15" customHeight="1" s="20">
      <c r="A26" s="23" t="inlineStr">
        <is>
          <t>Front React</t>
        </is>
      </c>
      <c r="B26" s="23" t="inlineStr">
        <is>
          <t>Inscription, connexion, compte fidélité</t>
        </is>
      </c>
      <c r="C26" s="32" t="n">
        <v>3</v>
      </c>
      <c r="D26" s="23" t="inlineStr">
        <is>
          <t>Dev front</t>
        </is>
      </c>
      <c r="E26" s="24">
        <f>TJM!$B$6</f>
        <v/>
      </c>
      <c r="F26" s="26">
        <f>C26*E26</f>
        <v/>
      </c>
    </row>
    <row r="27" ht="15" customHeight="1" s="20">
      <c r="A27" s="23" t="inlineStr">
        <is>
          <t>Front React</t>
        </is>
      </c>
      <c r="B27" s="23" t="inlineStr">
        <is>
          <t>Historique des commandes</t>
        </is>
      </c>
      <c r="C27" s="32" t="n">
        <v>2</v>
      </c>
      <c r="D27" s="23" t="inlineStr">
        <is>
          <t>Dev front</t>
        </is>
      </c>
      <c r="E27" s="24">
        <f>TJM!$B$6</f>
        <v/>
      </c>
      <c r="F27" s="26">
        <f>C27*E27</f>
        <v/>
      </c>
    </row>
    <row r="28" ht="15" customHeight="1" s="20">
      <c r="A28" s="23" t="inlineStr">
        <is>
          <t>Front React</t>
        </is>
      </c>
      <c r="B28" s="23" t="inlineStr">
        <is>
          <t>Intégration des maquettes</t>
        </is>
      </c>
      <c r="C28" s="32" t="n">
        <v>2</v>
      </c>
      <c r="D28" s="23" t="inlineStr">
        <is>
          <t>Dev front</t>
        </is>
      </c>
      <c r="E28" s="24">
        <f>TJM!$B$6</f>
        <v/>
      </c>
      <c r="F28" s="26">
        <f>C28*E28</f>
        <v/>
      </c>
    </row>
    <row r="29" ht="15" customHeight="1" s="20">
      <c r="A29" s="23" t="inlineStr">
        <is>
          <t>Intégration front/back</t>
        </is>
      </c>
      <c r="B29" s="23" t="inlineStr">
        <is>
          <t>Branchement des écrans, CORS, tokens</t>
        </is>
      </c>
      <c r="C29" s="32" t="n">
        <v>3</v>
      </c>
      <c r="D29" s="23" t="inlineStr">
        <is>
          <t>Dev front</t>
        </is>
      </c>
      <c r="E29" s="24">
        <f>TJM!$B$6</f>
        <v/>
      </c>
      <c r="F29" s="26">
        <f>C29*E29</f>
        <v/>
      </c>
    </row>
    <row r="30" ht="15" customHeight="1" s="20">
      <c r="A30" s="23" t="inlineStr">
        <is>
          <t>Intégration front/back</t>
        </is>
      </c>
      <c r="B30" s="23" t="inlineStr">
        <is>
          <t>Corrections croisées et cas limites</t>
        </is>
      </c>
      <c r="C30" s="32" t="n">
        <v>3</v>
      </c>
      <c r="D30" s="23" t="inlineStr">
        <is>
          <t>Dev back</t>
        </is>
      </c>
      <c r="E30" s="24">
        <f>TJM!$B$7</f>
        <v/>
      </c>
      <c r="F30" s="26">
        <f>C30*E30</f>
        <v/>
      </c>
    </row>
    <row r="31" ht="15" customHeight="1" s="20">
      <c r="A31" s="23" t="inlineStr">
        <is>
          <t>RGPD</t>
        </is>
      </c>
      <c r="B31" s="23" t="inlineStr">
        <is>
          <t>Registre, mentions, politique courte</t>
        </is>
      </c>
      <c r="C31" s="32" t="n">
        <v>2</v>
      </c>
      <c r="D31" s="23" t="inlineStr">
        <is>
          <t>Consultant RGPD</t>
        </is>
      </c>
      <c r="E31" s="24">
        <f>TJM!$B$11</f>
        <v/>
      </c>
      <c r="F31" s="26">
        <f>C31*E31</f>
        <v/>
      </c>
    </row>
    <row r="32" ht="15" customHeight="1" s="20">
      <c r="A32" s="23" t="inlineStr">
        <is>
          <t>RGPD</t>
        </is>
      </c>
      <c r="B32" s="23" t="inlineStr">
        <is>
          <t>Suppression de compte, consentement, durées</t>
        </is>
      </c>
      <c r="C32" s="32" t="n">
        <v>2</v>
      </c>
      <c r="D32" s="23" t="inlineStr">
        <is>
          <t>Dev back</t>
        </is>
      </c>
      <c r="E32" s="24">
        <f>TJM!$B$7</f>
        <v/>
      </c>
      <c r="F32" s="26">
        <f>C32*E32</f>
        <v/>
      </c>
    </row>
    <row r="33" ht="15" customHeight="1" s="20">
      <c r="A33" s="23" t="inlineStr">
        <is>
          <t>Recette</t>
        </is>
      </c>
      <c r="B33" s="23" t="inlineStr">
        <is>
          <t>Plan de test et jeux de données</t>
        </is>
      </c>
      <c r="C33" s="32" t="n">
        <v>2</v>
      </c>
      <c r="D33" s="23" t="inlineStr">
        <is>
          <t>QA</t>
        </is>
      </c>
      <c r="E33" s="24">
        <f>TJM!$B$9</f>
        <v/>
      </c>
      <c r="F33" s="26">
        <f>C33*E33</f>
        <v/>
      </c>
    </row>
    <row r="34" ht="15" customHeight="1" s="20">
      <c r="A34" s="23" t="inlineStr">
        <is>
          <t>Recette</t>
        </is>
      </c>
      <c r="B34" s="23" t="inlineStr">
        <is>
          <t>Campagnes de test (deux passes)</t>
        </is>
      </c>
      <c r="C34" s="32" t="n">
        <v>5</v>
      </c>
      <c r="D34" s="23" t="inlineStr">
        <is>
          <t>QA</t>
        </is>
      </c>
      <c r="E34" s="24">
        <f>TJM!$B$9</f>
        <v/>
      </c>
      <c r="F34" s="26">
        <f>C34*E34</f>
        <v/>
      </c>
    </row>
    <row r="35" ht="15" customHeight="1" s="20">
      <c r="A35" s="23" t="inlineStr">
        <is>
          <t>Recette</t>
        </is>
      </c>
      <c r="B35" s="23" t="inlineStr">
        <is>
          <t>Corrections</t>
        </is>
      </c>
      <c r="C35" s="32" t="n">
        <v>5</v>
      </c>
      <c r="D35" s="23" t="inlineStr">
        <is>
          <t>Dev</t>
        </is>
      </c>
      <c r="E35" s="24">
        <f>TJM!$B$8</f>
        <v/>
      </c>
      <c r="F35" s="26">
        <f>C35*E35</f>
        <v/>
      </c>
    </row>
    <row r="36" ht="15" customHeight="1" s="20">
      <c r="A36" s="23" t="inlineStr">
        <is>
          <t>Recette</t>
        </is>
      </c>
      <c r="B36" s="23" t="inlineStr">
        <is>
          <t>Recette utilisateur avec Picard</t>
        </is>
      </c>
      <c r="C36" s="32" t="n">
        <v>1</v>
      </c>
      <c r="D36" s="23" t="inlineStr">
        <is>
          <t>Chef de projet</t>
        </is>
      </c>
      <c r="E36" s="24">
        <f>TJM!$B$4</f>
        <v/>
      </c>
      <c r="F36" s="26">
        <f>C36*E36</f>
        <v/>
      </c>
    </row>
    <row r="37" ht="15" customHeight="1" s="20">
      <c r="A37" s="23" t="inlineStr">
        <is>
          <t>Déploiement</t>
        </is>
      </c>
      <c r="B37" s="23" t="inlineStr">
        <is>
          <t>Serveur, Docker, base, HTTPS</t>
        </is>
      </c>
      <c r="C37" s="32" t="n">
        <v>3</v>
      </c>
      <c r="D37" s="23" t="inlineStr">
        <is>
          <t>DevOps</t>
        </is>
      </c>
      <c r="E37" s="24">
        <f>TJM!$B$10</f>
        <v/>
      </c>
      <c r="F37" s="26">
        <f>C37*E37</f>
        <v/>
      </c>
    </row>
    <row r="38" ht="15" customHeight="1" s="20">
      <c r="A38" s="23" t="inlineStr">
        <is>
          <t>Déploiement</t>
        </is>
      </c>
      <c r="B38" s="23" t="inlineStr">
        <is>
          <t>CI et mise en prod</t>
        </is>
      </c>
      <c r="C38" s="32" t="n">
        <v>2</v>
      </c>
      <c r="D38" s="23" t="inlineStr">
        <is>
          <t>DevOps</t>
        </is>
      </c>
      <c r="E38" s="24">
        <f>TJM!$B$10</f>
        <v/>
      </c>
      <c r="F38" s="26">
        <f>C38*E38</f>
        <v/>
      </c>
    </row>
    <row r="39" ht="15" customHeight="1" s="20">
      <c r="A39" s="23" t="inlineStr">
        <is>
          <t>Déploiement</t>
        </is>
      </c>
      <c r="B39" s="23" t="inlineStr">
        <is>
          <t>Documentation technique</t>
        </is>
      </c>
      <c r="C39" s="32" t="n">
        <v>1</v>
      </c>
      <c r="D39" s="23" t="inlineStr">
        <is>
          <t>Dev back</t>
        </is>
      </c>
      <c r="E39" s="24">
        <f>TJM!$B$7</f>
        <v/>
      </c>
      <c r="F39" s="26">
        <f>C39*E39</f>
        <v/>
      </c>
    </row>
    <row r="40"/>
    <row r="41" ht="15" customHeight="1" s="20">
      <c r="A41" s="21" t="inlineStr">
        <is>
          <t>Sous-totaux par lot</t>
        </is>
      </c>
    </row>
    <row r="42" ht="15" customHeight="1" s="20">
      <c r="A42" s="33" t="inlineStr">
        <is>
          <t>Cadrage</t>
        </is>
      </c>
      <c r="B42" s="33" t="n"/>
      <c r="C42" s="33">
        <f>SUMIF($A$4:$A$39,A42,$C$4:$C$39)</f>
        <v/>
      </c>
      <c r="D42" s="33" t="n"/>
      <c r="E42" s="33" t="n"/>
      <c r="F42" s="34">
        <f>SUMIF($A$4:$A$39,A42,$F$4:$F$39)</f>
        <v/>
      </c>
    </row>
    <row r="43" ht="15" customHeight="1" s="20">
      <c r="A43" s="33" t="inlineStr">
        <is>
          <t>UX/UI</t>
        </is>
      </c>
      <c r="B43" s="33" t="n"/>
      <c r="C43" s="33">
        <f>SUMIF($A$4:$A$39,A43,$C$4:$C$39)</f>
        <v/>
      </c>
      <c r="D43" s="33" t="n"/>
      <c r="E43" s="33" t="n"/>
      <c r="F43" s="34">
        <f>SUMIF($A$4:$A$39,A43,$F$4:$F$39)</f>
        <v/>
      </c>
    </row>
    <row r="44" ht="15" customHeight="1" s="20">
      <c r="A44" s="33" t="inlineStr">
        <is>
          <t>Back Symfony</t>
        </is>
      </c>
      <c r="B44" s="33" t="n"/>
      <c r="C44" s="33">
        <f>SUMIF($A$4:$A$39,A44,$C$4:$C$39)</f>
        <v/>
      </c>
      <c r="D44" s="33" t="n"/>
      <c r="E44" s="33" t="n"/>
      <c r="F44" s="34">
        <f>SUMIF($A$4:$A$39,A44,$F$4:$F$39)</f>
        <v/>
      </c>
    </row>
    <row r="45" ht="15" customHeight="1" s="20">
      <c r="A45" s="33" t="inlineStr">
        <is>
          <t>Front React</t>
        </is>
      </c>
      <c r="B45" s="33" t="n"/>
      <c r="C45" s="33">
        <f>SUMIF($A$4:$A$39,A45,$C$4:$C$39)</f>
        <v/>
      </c>
      <c r="D45" s="33" t="n"/>
      <c r="E45" s="33" t="n"/>
      <c r="F45" s="34">
        <f>SUMIF($A$4:$A$39,A45,$F$4:$F$39)</f>
        <v/>
      </c>
    </row>
    <row r="46" ht="15" customHeight="1" s="20">
      <c r="A46" s="33" t="inlineStr">
        <is>
          <t>Intégration front/back</t>
        </is>
      </c>
      <c r="B46" s="33" t="n"/>
      <c r="C46" s="33">
        <f>SUMIF($A$4:$A$39,A46,$C$4:$C$39)</f>
        <v/>
      </c>
      <c r="D46" s="33" t="n"/>
      <c r="E46" s="33" t="n"/>
      <c r="F46" s="34">
        <f>SUMIF($A$4:$A$39,A46,$F$4:$F$39)</f>
        <v/>
      </c>
    </row>
    <row r="47" ht="15" customHeight="1" s="20">
      <c r="A47" s="33" t="inlineStr">
        <is>
          <t>RGPD</t>
        </is>
      </c>
      <c r="B47" s="33" t="n"/>
      <c r="C47" s="33">
        <f>SUMIF($A$4:$A$39,A47,$C$4:$C$39)</f>
        <v/>
      </c>
      <c r="D47" s="33" t="n"/>
      <c r="E47" s="33" t="n"/>
      <c r="F47" s="34">
        <f>SUMIF($A$4:$A$39,A47,$F$4:$F$39)</f>
        <v/>
      </c>
    </row>
    <row r="48" ht="15" customHeight="1" s="20">
      <c r="A48" s="33" t="inlineStr">
        <is>
          <t>Recette</t>
        </is>
      </c>
      <c r="B48" s="33" t="n"/>
      <c r="C48" s="33">
        <f>SUMIF($A$4:$A$39,A48,$C$4:$C$39)</f>
        <v/>
      </c>
      <c r="D48" s="33" t="n"/>
      <c r="E48" s="33" t="n"/>
      <c r="F48" s="34">
        <f>SUMIF($A$4:$A$39,A48,$F$4:$F$39)</f>
        <v/>
      </c>
    </row>
    <row r="49" ht="15" customHeight="1" s="20">
      <c r="A49" s="33" t="inlineStr">
        <is>
          <t>Déploiement</t>
        </is>
      </c>
      <c r="B49" s="33" t="n"/>
      <c r="C49" s="33">
        <f>SUMIF($A$4:$A$39,A49,$C$4:$C$39)</f>
        <v/>
      </c>
      <c r="D49" s="33" t="n"/>
      <c r="E49" s="33" t="n"/>
      <c r="F49" s="34">
        <f>SUMIF($A$4:$A$39,A49,$F$4:$F$39)</f>
        <v/>
      </c>
    </row>
    <row r="50" ht="15" customHeight="1" s="20">
      <c r="A50" s="27" t="inlineStr">
        <is>
          <t>Total avant contingence</t>
        </is>
      </c>
      <c r="B50" s="27" t="n"/>
      <c r="C50" s="27">
        <f>SUM(C4:C39)</f>
        <v/>
      </c>
      <c r="D50" s="27" t="n"/>
      <c r="E50" s="27" t="n"/>
      <c r="F50" s="28">
        <f>SUM(F4:F39)</f>
        <v/>
      </c>
    </row>
    <row r="51" ht="15" customHeight="1" s="20">
      <c r="A51" s="23" t="inlineStr">
        <is>
          <t>Contrôle sous-totaux (doit être 0)</t>
        </is>
      </c>
      <c r="B51" s="23" t="n"/>
      <c r="C51" s="23" t="n"/>
      <c r="D51" s="23" t="n"/>
      <c r="E51" s="23" t="n"/>
      <c r="F51" s="26">
        <f>F50-SUM(F42:F49)</f>
        <v/>
      </c>
    </row>
    <row r="52" ht="15" customHeight="1" s="20">
      <c r="A52" s="23" t="inlineStr">
        <is>
          <t>Contingence</t>
        </is>
      </c>
      <c r="B52" s="23" t="n"/>
      <c r="C52" s="23" t="n"/>
      <c r="D52" s="23" t="n"/>
      <c r="E52" s="25">
        <f>TJM!$B$15</f>
        <v/>
      </c>
      <c r="F52" s="26">
        <f>F50*E52</f>
        <v/>
      </c>
    </row>
    <row r="53" ht="15" customHeight="1" s="20">
      <c r="A53" s="27" t="inlineStr">
        <is>
          <t>Total HT avec contingence</t>
        </is>
      </c>
      <c r="B53" s="27" t="n"/>
      <c r="C53" s="27" t="n"/>
      <c r="D53" s="27" t="n"/>
      <c r="E53" s="27" t="n"/>
      <c r="F53" s="28">
        <f>F50+F52</f>
        <v/>
      </c>
    </row>
    <row r="54" ht="15" customHeight="1" s="20">
      <c r="A54" s="23" t="inlineStr">
        <is>
          <t>Tâche la plus longue (j.h)</t>
        </is>
      </c>
      <c r="B54" s="23" t="n"/>
      <c r="C54" s="23">
        <f>MAX(C4:C39)</f>
        <v/>
      </c>
      <c r="D54" s="23" t="n"/>
      <c r="E54" s="23" t="n"/>
      <c r="F54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9" min="1" max="1"/>
    <col width="44" customWidth="1" style="19" min="2" max="2"/>
    <col width="11" customWidth="1" style="19" min="3" max="3"/>
    <col width="8" customWidth="1" style="19" min="4" max="4"/>
    <col width="20" customWidth="1" style="19" min="5" max="5"/>
    <col width="16" customWidth="1" style="19" min="6" max="6"/>
    <col width="18" customWidth="1" style="19" min="7" max="7"/>
  </cols>
  <sheetData>
    <row r="1" ht="15" customHeight="1" s="20">
      <c r="A1" s="21" t="inlineStr">
        <is>
          <t>Postes transverses aux deux projets. Prix hébergement HT (OVHcloud page VPS, sept. 2026), Figma 16 $ pris à 15 €.</t>
        </is>
      </c>
    </row>
    <row r="2"/>
    <row r="3" ht="15" customHeight="1" s="20">
      <c r="A3" s="22" t="inlineStr">
        <is>
          <t>Lot</t>
        </is>
      </c>
      <c r="B3" s="22" t="inlineStr">
        <is>
          <t>Poste</t>
        </is>
      </c>
      <c r="C3" s="22" t="inlineStr">
        <is>
          <t>Quantité</t>
        </is>
      </c>
      <c r="D3" s="22" t="inlineStr">
        <is>
          <t>Unité</t>
        </is>
      </c>
      <c r="E3" s="22" t="inlineStr">
        <is>
          <t>Rôle ou fournisseur</t>
        </is>
      </c>
      <c r="F3" s="22" t="inlineStr">
        <is>
          <t>Prix unitaire (€)</t>
        </is>
      </c>
      <c r="G3" s="22" t="inlineStr">
        <is>
          <t>Sous-total (€ HT)</t>
        </is>
      </c>
    </row>
    <row r="4" ht="15" customHeight="1" s="20">
      <c r="A4" s="23" t="inlineStr">
        <is>
          <t>Pilotage</t>
        </is>
      </c>
      <c r="B4" s="23" t="inlineStr">
        <is>
          <t>Suivi hebdo outil stocks (0,5 j sur 6 semaines)</t>
        </is>
      </c>
      <c r="C4" s="32" t="n">
        <v>3</v>
      </c>
      <c r="D4" s="23" t="inlineStr">
        <is>
          <t>j.h</t>
        </is>
      </c>
      <c r="E4" s="23" t="inlineStr">
        <is>
          <t>Chef de projet</t>
        </is>
      </c>
      <c r="F4" s="24">
        <f>TJM!$B$4</f>
        <v/>
      </c>
      <c r="G4" s="26">
        <f>C4*F4</f>
        <v/>
      </c>
    </row>
    <row r="5" ht="15" customHeight="1" s="20">
      <c r="A5" s="23" t="inlineStr">
        <is>
          <t>Pilotage</t>
        </is>
      </c>
      <c r="B5" s="23" t="inlineStr">
        <is>
          <t>Suivi hebdo appli commande (0,5 j sur 14 semaines)</t>
        </is>
      </c>
      <c r="C5" s="32" t="n">
        <v>7</v>
      </c>
      <c r="D5" s="23" t="inlineStr">
        <is>
          <t>j.h</t>
        </is>
      </c>
      <c r="E5" s="23" t="inlineStr">
        <is>
          <t>Chef de projet</t>
        </is>
      </c>
      <c r="F5" s="24">
        <f>TJM!$B$4</f>
        <v/>
      </c>
      <c r="G5" s="26">
        <f>C5*F5</f>
        <v/>
      </c>
    </row>
    <row r="6" ht="15" customHeight="1" s="20">
      <c r="A6" s="23" t="inlineStr">
        <is>
          <t>Hébergement et outils</t>
        </is>
      </c>
      <c r="B6" s="23" t="inlineStr">
        <is>
          <t>VPS-2 OVHcloud, production</t>
        </is>
      </c>
      <c r="C6" s="32" t="n">
        <v>12</v>
      </c>
      <c r="D6" s="23" t="inlineStr">
        <is>
          <t>mois</t>
        </is>
      </c>
      <c r="E6" s="23" t="inlineStr">
        <is>
          <t>OVHcloud</t>
        </is>
      </c>
      <c r="F6" s="30" t="n">
        <v>7.21</v>
      </c>
      <c r="G6" s="26">
        <f>C6*F6</f>
        <v/>
      </c>
    </row>
    <row r="7" ht="15" customHeight="1" s="20">
      <c r="A7" s="23" t="inlineStr">
        <is>
          <t>Hébergement et outils</t>
        </is>
      </c>
      <c r="B7" s="23" t="inlineStr">
        <is>
          <t>VPS-1 OVHcloud, staging</t>
        </is>
      </c>
      <c r="C7" s="32" t="n">
        <v>12</v>
      </c>
      <c r="D7" s="23" t="inlineStr">
        <is>
          <t>mois</t>
        </is>
      </c>
      <c r="E7" s="23" t="inlineStr">
        <is>
          <t>OVHcloud</t>
        </is>
      </c>
      <c r="F7" s="30" t="n">
        <v>3.81</v>
      </c>
      <c r="G7" s="26">
        <f>C7*F7</f>
        <v/>
      </c>
    </row>
    <row r="8" ht="15" customHeight="1" s="20">
      <c r="A8" s="23" t="inlineStr">
        <is>
          <t>Hébergement et outils</t>
        </is>
      </c>
      <c r="B8" s="23" t="inlineStr">
        <is>
          <t>Figma Professional, 1 siège</t>
        </is>
      </c>
      <c r="C8" s="32" t="n">
        <v>4</v>
      </c>
      <c r="D8" s="23" t="inlineStr">
        <is>
          <t>mois</t>
        </is>
      </c>
      <c r="E8" s="23" t="inlineStr">
        <is>
          <t>Figma</t>
        </is>
      </c>
      <c r="F8" s="30" t="n">
        <v>14</v>
      </c>
      <c r="G8" s="26">
        <f>C8*F8</f>
        <v/>
      </c>
    </row>
    <row r="9" ht="15" customHeight="1" s="20">
      <c r="A9" s="23" t="inlineStr">
        <is>
          <t>Formation</t>
        </is>
      </c>
      <c r="B9" s="23" t="inlineStr">
        <is>
          <t>Support de formation</t>
        </is>
      </c>
      <c r="C9" s="32" t="n">
        <v>1</v>
      </c>
      <c r="D9" s="23" t="inlineStr">
        <is>
          <t>j.h</t>
        </is>
      </c>
      <c r="E9" s="23" t="inlineStr">
        <is>
          <t>Chef de projet</t>
        </is>
      </c>
      <c r="F9" s="24">
        <f>TJM!$B$4</f>
        <v/>
      </c>
      <c r="G9" s="26">
        <f>C9*F9</f>
        <v/>
      </c>
    </row>
    <row r="10" ht="15" customHeight="1" s="20">
      <c r="A10" s="23" t="inlineStr">
        <is>
          <t>Formation</t>
        </is>
      </c>
      <c r="B10" s="23" t="inlineStr">
        <is>
          <t>Session gestion des stocks (outil stocks)</t>
        </is>
      </c>
      <c r="C10" s="32" t="n">
        <v>0.5</v>
      </c>
      <c r="D10" s="23" t="inlineStr">
        <is>
          <t>j.h</t>
        </is>
      </c>
      <c r="E10" s="23" t="inlineStr">
        <is>
          <t>Chef de projet</t>
        </is>
      </c>
      <c r="F10" s="24">
        <f>TJM!$B$4</f>
        <v/>
      </c>
      <c r="G10" s="26">
        <f>C10*F10</f>
        <v/>
      </c>
    </row>
    <row r="11" ht="15" customHeight="1" s="20">
      <c r="A11" s="23" t="inlineStr">
        <is>
          <t>Formation</t>
        </is>
      </c>
      <c r="B11" s="23" t="inlineStr">
        <is>
          <t>Session commandes et fidélité (appli commande)</t>
        </is>
      </c>
      <c r="C11" s="32" t="n">
        <v>0.5</v>
      </c>
      <c r="D11" s="23" t="inlineStr">
        <is>
          <t>j.h</t>
        </is>
      </c>
      <c r="E11" s="23" t="inlineStr">
        <is>
          <t>Chef de projet</t>
        </is>
      </c>
      <c r="F11" s="24">
        <f>TJM!$B$4</f>
        <v/>
      </c>
      <c r="G11" s="26">
        <f>C11*F11</f>
        <v/>
      </c>
    </row>
    <row r="12" ht="15" customHeight="1" s="20">
      <c r="A12" s="23" t="inlineStr">
        <is>
          <t>Maintenance an 1</t>
        </is>
      </c>
      <c r="B12" s="23" t="inlineStr">
        <is>
          <t>Correctifs outil stocks (0,25 j par mois)</t>
        </is>
      </c>
      <c r="C12" s="32" t="n">
        <v>3</v>
      </c>
      <c r="D12" s="23" t="inlineStr">
        <is>
          <t>j.h</t>
        </is>
      </c>
      <c r="E12" s="23" t="inlineStr">
        <is>
          <t>Dev</t>
        </is>
      </c>
      <c r="F12" s="24">
        <f>TJM!$B$8</f>
        <v/>
      </c>
      <c r="G12" s="26">
        <f>C12*F12</f>
        <v/>
      </c>
    </row>
    <row r="13" ht="15" customHeight="1" s="20">
      <c r="A13" s="23" t="inlineStr">
        <is>
          <t>Maintenance an 1</t>
        </is>
      </c>
      <c r="B13" s="23" t="inlineStr">
        <is>
          <t>Correctifs appli commande, mois 1 à 6</t>
        </is>
      </c>
      <c r="C13" s="32" t="n">
        <v>4.5</v>
      </c>
      <c r="D13" s="23" t="inlineStr">
        <is>
          <t>j.h</t>
        </is>
      </c>
      <c r="E13" s="23" t="inlineStr">
        <is>
          <t>Dev</t>
        </is>
      </c>
      <c r="F13" s="24">
        <f>TJM!$B$8</f>
        <v/>
      </c>
      <c r="G13" s="26">
        <f>C13*F13</f>
        <v/>
      </c>
    </row>
    <row r="14" ht="15" customHeight="1" s="20">
      <c r="A14" s="23" t="inlineStr">
        <is>
          <t>Maintenance an 1</t>
        </is>
      </c>
      <c r="B14" s="23" t="inlineStr">
        <is>
          <t>Correctifs appli commande, mois 7 à 12</t>
        </is>
      </c>
      <c r="C14" s="32" t="n">
        <v>4.5</v>
      </c>
      <c r="D14" s="23" t="inlineStr">
        <is>
          <t>j.h</t>
        </is>
      </c>
      <c r="E14" s="23" t="inlineStr">
        <is>
          <t>Dev</t>
        </is>
      </c>
      <c r="F14" s="24">
        <f>TJM!$B$8</f>
        <v/>
      </c>
      <c r="G14" s="26">
        <f>C14*F14</f>
        <v/>
      </c>
    </row>
    <row r="15" ht="15" customHeight="1" s="20">
      <c r="A15" s="23" t="inlineStr">
        <is>
          <t>Maintenance an 1</t>
        </is>
      </c>
      <c r="B15" s="23" t="inlineStr">
        <is>
          <t>Mises à jour sécurité et dépendances</t>
        </is>
      </c>
      <c r="C15" s="32" t="n">
        <v>2</v>
      </c>
      <c r="D15" s="23" t="inlineStr">
        <is>
          <t>j.h</t>
        </is>
      </c>
      <c r="E15" s="23" t="inlineStr">
        <is>
          <t>DevOps</t>
        </is>
      </c>
      <c r="F15" s="24">
        <f>TJM!$B$10</f>
        <v/>
      </c>
      <c r="G15" s="26">
        <f>C15*F15</f>
        <v/>
      </c>
    </row>
    <row r="16"/>
    <row r="17" ht="15" customHeight="1" s="20">
      <c r="A17" s="27" t="inlineStr">
        <is>
          <t>Total avant contingence</t>
        </is>
      </c>
      <c r="B17" s="27" t="n"/>
      <c r="C17" s="27" t="n"/>
      <c r="D17" s="27" t="n"/>
      <c r="E17" s="27" t="n"/>
      <c r="F17" s="27" t="n"/>
      <c r="G17" s="28">
        <f>SUM(G4:G15)</f>
        <v/>
      </c>
    </row>
    <row r="18" ht="15" customHeight="1" s="20">
      <c r="A18" s="23" t="inlineStr">
        <is>
          <t>Contingence</t>
        </is>
      </c>
      <c r="B18" s="23" t="n"/>
      <c r="C18" s="23" t="n"/>
      <c r="D18" s="23" t="n"/>
      <c r="E18" s="23" t="n"/>
      <c r="F18" s="25">
        <f>TJM!$B$16</f>
        <v/>
      </c>
      <c r="G18" s="26">
        <f>G17*F18</f>
        <v/>
      </c>
    </row>
    <row r="19" ht="15" customHeight="1" s="20">
      <c r="A19" s="27" t="inlineStr">
        <is>
          <t>Total HT avec contingence</t>
        </is>
      </c>
      <c r="B19" s="27" t="n"/>
      <c r="C19" s="27" t="n"/>
      <c r="D19" s="27" t="n"/>
      <c r="E19" s="27" t="n"/>
      <c r="F19" s="27" t="n"/>
      <c r="G19" s="28">
        <f>G17+G18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9" min="1" max="1"/>
    <col width="26" customWidth="1" style="19" min="2" max="2"/>
    <col width="5" customWidth="1" style="19" min="3" max="16"/>
  </cols>
  <sheetData>
    <row r="1" ht="15" customHeight="1" s="20">
      <c r="A1" s="21" t="inlineStr">
        <is>
          <t>Planning indicatif sur 14 semaines. Une cellule colorée = le lot est actif cette semaine. J = jalon.</t>
        </is>
      </c>
    </row>
    <row r="2"/>
    <row r="3" ht="15" customHeight="1" s="20">
      <c r="A3" s="22" t="inlineStr">
        <is>
          <t>Projet</t>
        </is>
      </c>
      <c r="B3" s="22" t="inlineStr">
        <is>
          <t>Lot</t>
        </is>
      </c>
      <c r="C3" s="22" t="inlineStr">
        <is>
          <t>S1</t>
        </is>
      </c>
      <c r="D3" s="22" t="inlineStr">
        <is>
          <t>S2</t>
        </is>
      </c>
      <c r="E3" s="22" t="inlineStr">
        <is>
          <t>S3</t>
        </is>
      </c>
      <c r="F3" s="22" t="inlineStr">
        <is>
          <t>S4</t>
        </is>
      </c>
      <c r="G3" s="22" t="inlineStr">
        <is>
          <t>S5</t>
        </is>
      </c>
      <c r="H3" s="22" t="inlineStr">
        <is>
          <t>S6</t>
        </is>
      </c>
      <c r="I3" s="22" t="inlineStr">
        <is>
          <t>S7</t>
        </is>
      </c>
      <c r="J3" s="22" t="inlineStr">
        <is>
          <t>S8</t>
        </is>
      </c>
      <c r="K3" s="22" t="inlineStr">
        <is>
          <t>S9</t>
        </is>
      </c>
      <c r="L3" s="22" t="inlineStr">
        <is>
          <t>S10</t>
        </is>
      </c>
      <c r="M3" s="22" t="inlineStr">
        <is>
          <t>S11</t>
        </is>
      </c>
      <c r="N3" s="22" t="inlineStr">
        <is>
          <t>S12</t>
        </is>
      </c>
      <c r="O3" s="22" t="inlineStr">
        <is>
          <t>S13</t>
        </is>
      </c>
      <c r="P3" s="22" t="inlineStr">
        <is>
          <t>S14</t>
        </is>
      </c>
    </row>
    <row r="4" ht="15" customHeight="1" s="20">
      <c r="A4" s="23" t="inlineStr">
        <is>
          <t>Stocks</t>
        </is>
      </c>
      <c r="B4" s="23" t="inlineStr">
        <is>
          <t>Cadrage</t>
        </is>
      </c>
      <c r="C4" s="35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 ht="15" customHeight="1" s="20">
      <c r="A5" s="23" t="inlineStr">
        <is>
          <t>Stocks</t>
        </is>
      </c>
      <c r="B5" s="23" t="inlineStr">
        <is>
          <t>UX/UI</t>
        </is>
      </c>
      <c r="C5" s="23" t="n"/>
      <c r="D5" s="35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 ht="15" customHeight="1" s="20">
      <c r="A6" s="23" t="inlineStr">
        <is>
          <t>Stocks</t>
        </is>
      </c>
      <c r="B6" s="23" t="inlineStr">
        <is>
          <t>Front TypeScript</t>
        </is>
      </c>
      <c r="C6" s="23" t="n"/>
      <c r="D6" s="23" t="n"/>
      <c r="E6" s="35" t="n"/>
      <c r="F6" s="35" t="n"/>
      <c r="G6" s="35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</row>
    <row r="7" ht="15" customHeight="1" s="20">
      <c r="A7" s="23" t="inlineStr">
        <is>
          <t>Stocks</t>
        </is>
      </c>
      <c r="B7" s="23" t="inlineStr">
        <is>
          <t>Recette</t>
        </is>
      </c>
      <c r="C7" s="23" t="n"/>
      <c r="D7" s="23" t="n"/>
      <c r="E7" s="23" t="n"/>
      <c r="F7" s="23" t="n"/>
      <c r="G7" s="35" t="n"/>
      <c r="H7" s="35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 ht="15" customHeight="1" s="20">
      <c r="A8" s="23" t="inlineStr">
        <is>
          <t>Stocks</t>
        </is>
      </c>
      <c r="B8" s="23" t="inlineStr">
        <is>
          <t>Mise en prod</t>
        </is>
      </c>
      <c r="C8" s="23" t="n"/>
      <c r="D8" s="23" t="n"/>
      <c r="E8" s="23" t="n"/>
      <c r="F8" s="23" t="n"/>
      <c r="G8" s="23" t="n"/>
      <c r="H8" s="35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ht="15" customHeight="1" s="20">
      <c r="A9" s="23" t="inlineStr">
        <is>
          <t>Commande</t>
        </is>
      </c>
      <c r="B9" s="23" t="inlineStr">
        <is>
          <t>Cadrage</t>
        </is>
      </c>
      <c r="C9" s="36" t="n"/>
      <c r="D9" s="36" t="n"/>
      <c r="E9" s="36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</row>
    <row r="10" ht="15" customHeight="1" s="20">
      <c r="A10" s="23" t="inlineStr">
        <is>
          <t>Commande</t>
        </is>
      </c>
      <c r="B10" s="23" t="inlineStr">
        <is>
          <t>UX/UI</t>
        </is>
      </c>
      <c r="C10" s="23" t="n"/>
      <c r="D10" s="23" t="n"/>
      <c r="E10" s="36" t="n"/>
      <c r="F10" s="36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ht="15" customHeight="1" s="20">
      <c r="A11" s="23" t="inlineStr">
        <is>
          <t>Commande</t>
        </is>
      </c>
      <c r="B11" s="23" t="inlineStr">
        <is>
          <t>Back Symfony (contrat d'API en tête)</t>
        </is>
      </c>
      <c r="C11" s="23" t="n"/>
      <c r="D11" s="23" t="n"/>
      <c r="E11" s="23" t="n"/>
      <c r="F11" s="36" t="n"/>
      <c r="G11" s="36" t="n"/>
      <c r="H11" s="36" t="n"/>
      <c r="I11" s="36" t="n"/>
      <c r="J11" s="36" t="n"/>
      <c r="K11" s="23" t="n"/>
      <c r="L11" s="23" t="n"/>
      <c r="M11" s="23" t="n"/>
      <c r="N11" s="23" t="n"/>
      <c r="O11" s="23" t="n"/>
      <c r="P11" s="23" t="n"/>
    </row>
    <row r="12" ht="15" customHeight="1" s="20">
      <c r="A12" s="23" t="inlineStr">
        <is>
          <t>Commande</t>
        </is>
      </c>
      <c r="B12" s="23" t="inlineStr">
        <is>
          <t>Front React</t>
        </is>
      </c>
      <c r="C12" s="23" t="n"/>
      <c r="D12" s="23" t="n"/>
      <c r="E12" s="23" t="n"/>
      <c r="F12" s="23" t="n"/>
      <c r="G12" s="23" t="n"/>
      <c r="H12" s="36" t="n"/>
      <c r="I12" s="36" t="n"/>
      <c r="J12" s="36" t="n"/>
      <c r="K12" s="36" t="n"/>
      <c r="L12" s="36" t="n"/>
      <c r="M12" s="23" t="n"/>
      <c r="N12" s="23" t="n"/>
      <c r="O12" s="23" t="n"/>
      <c r="P12" s="23" t="n"/>
    </row>
    <row r="13" ht="15" customHeight="1" s="20">
      <c r="A13" s="23" t="inlineStr">
        <is>
          <t>Commande</t>
        </is>
      </c>
      <c r="B13" s="23" t="inlineStr">
        <is>
          <t>Intégration front/back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36" t="n"/>
      <c r="M13" s="36" t="n"/>
      <c r="N13" s="23" t="n"/>
      <c r="O13" s="23" t="n"/>
      <c r="P13" s="23" t="n"/>
    </row>
    <row r="14" ht="15" customHeight="1" s="20">
      <c r="A14" s="23" t="inlineStr">
        <is>
          <t>Commande</t>
        </is>
      </c>
      <c r="B14" s="23" t="inlineStr">
        <is>
          <t>RGPD (consultant)</t>
        </is>
      </c>
      <c r="C14" s="23" t="n"/>
      <c r="D14" s="23" t="n"/>
      <c r="E14" s="23" t="n"/>
      <c r="F14" s="36" t="n"/>
      <c r="G14" s="36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 ht="15" customHeight="1" s="20">
      <c r="A15" s="23" t="inlineStr">
        <is>
          <t>Commande</t>
        </is>
      </c>
      <c r="B15" s="23" t="inlineStr">
        <is>
          <t>RGPD (dev)</t>
        </is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36" t="n"/>
      <c r="L15" s="23" t="n"/>
      <c r="M15" s="23" t="n"/>
      <c r="N15" s="23" t="n"/>
      <c r="O15" s="23" t="n"/>
      <c r="P15" s="23" t="n"/>
    </row>
    <row r="16" ht="15" customHeight="1" s="20">
      <c r="A16" s="23" t="inlineStr">
        <is>
          <t>Commande</t>
        </is>
      </c>
      <c r="B16" s="23" t="inlineStr">
        <is>
          <t>Déploiement (staging)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36" t="n"/>
      <c r="L16" s="36" t="n"/>
      <c r="M16" s="23" t="n"/>
      <c r="N16" s="23" t="n"/>
      <c r="O16" s="23" t="n"/>
      <c r="P16" s="23" t="n"/>
    </row>
    <row r="17" ht="15" customHeight="1" s="20">
      <c r="A17" s="23" t="inlineStr">
        <is>
          <t>Commande</t>
        </is>
      </c>
      <c r="B17" s="23" t="inlineStr">
        <is>
          <t>Recette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36" t="n"/>
      <c r="O17" s="36" t="n"/>
      <c r="P17" s="23" t="n"/>
    </row>
    <row r="18" ht="15" customHeight="1" s="20">
      <c r="A18" s="23" t="inlineStr">
        <is>
          <t>Commande</t>
        </is>
      </c>
      <c r="B18" s="23" t="inlineStr">
        <is>
          <t>Déploiement (mise en prod)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36" t="n"/>
    </row>
    <row r="19" ht="15" customHeight="1" s="20">
      <c r="A19" s="23" t="inlineStr">
        <is>
          <t>Transverse</t>
        </is>
      </c>
      <c r="B19" s="23" t="inlineStr">
        <is>
          <t>Pilotage</t>
        </is>
      </c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</row>
    <row r="20" ht="15" customHeight="1" s="20">
      <c r="A20" s="23" t="inlineStr">
        <is>
          <t>Transverse</t>
        </is>
      </c>
      <c r="B20" s="23" t="inlineStr">
        <is>
          <t>Formation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37" t="n"/>
    </row>
    <row r="21"/>
    <row r="22" ht="15" customHeight="1" s="20">
      <c r="A22" s="21" t="inlineStr">
        <is>
          <t>Jalons</t>
        </is>
      </c>
    </row>
    <row r="23" ht="15" customHeight="1" s="20">
      <c r="A23" s="29" t="inlineStr">
        <is>
          <t>S1</t>
        </is>
      </c>
      <c r="B23" s="29" t="inlineStr">
        <is>
          <t>Kick-off</t>
        </is>
      </c>
      <c r="C23" s="38" t="inlineStr">
        <is>
          <t>J</t>
        </is>
      </c>
    </row>
    <row r="24" ht="15" customHeight="1" s="20">
      <c r="A24" s="29" t="inlineStr">
        <is>
          <t>S2</t>
        </is>
      </c>
      <c r="B24" s="29" t="inlineStr">
        <is>
          <t>Validation des maquettes stocks</t>
        </is>
      </c>
      <c r="D24" s="38" t="inlineStr">
        <is>
          <t>J</t>
        </is>
      </c>
    </row>
    <row r="25" ht="15" customHeight="1" s="20">
      <c r="A25" s="29" t="inlineStr">
        <is>
          <t>S4</t>
        </is>
      </c>
      <c r="B25" s="29" t="inlineStr">
        <is>
          <t>Validation des maquettes commande</t>
        </is>
      </c>
      <c r="F25" s="38" t="inlineStr">
        <is>
          <t>J</t>
        </is>
      </c>
    </row>
    <row r="26" ht="15" customHeight="1" s="20">
      <c r="A26" s="29" t="inlineStr">
        <is>
          <t>S6</t>
        </is>
      </c>
      <c r="B26" s="29" t="inlineStr">
        <is>
          <t>Mise en prod de l'outil stocks</t>
        </is>
      </c>
      <c r="H26" s="38" t="inlineStr">
        <is>
          <t>J</t>
        </is>
      </c>
    </row>
    <row r="27" ht="15" customHeight="1" s="20">
      <c r="A27" s="29" t="inlineStr">
        <is>
          <t>S13</t>
        </is>
      </c>
      <c r="B27" s="29" t="inlineStr">
        <is>
          <t>PV de recette de l'appli commande</t>
        </is>
      </c>
      <c r="O27" s="38" t="inlineStr">
        <is>
          <t>J</t>
        </is>
      </c>
    </row>
    <row r="28" ht="15" customHeight="1" s="20">
      <c r="A28" s="29" t="inlineStr">
        <is>
          <t>S14</t>
        </is>
      </c>
      <c r="B28" s="29" t="inlineStr">
        <is>
          <t>Mise en prod de l'appli commande et formation</t>
        </is>
      </c>
      <c r="P28" s="38" t="inlineStr">
        <is>
          <t>J</t>
        </is>
      </c>
    </row>
    <row r="29"/>
    <row r="30" ht="15" customHeight="1" s="20">
      <c r="A30" s="29" t="inlineStr">
        <is>
          <t>Dépendances : UX avant front, contrat d'API avant front, back avant intégration, staging avant recette, recette avant prod.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Haider Rayan Boudjemeline</dc:creator>
  <dc:title xmlns:dc="http://purl.org/dc/elements/1.1/">Budgétisation des deux applis Picard</dc:title>
  <dc:language xmlns:dc="http://purl.org/dc/elements/1.1/">fr-FR</dc:language>
  <dcterms:created xmlns:dcterms="http://purl.org/dc/terms/" xmlns:xsi="http://www.w3.org/2001/XMLSchema-instance" xsi:type="dcterms:W3CDTF">2026-09-25T09:07:00Z</dcterms:created>
  <dcterms:modified xmlns:dcterms="http://purl.org/dc/terms/" xmlns:xsi="http://www.w3.org/2001/XMLSchema-instance" xsi:type="dcterms:W3CDTF">2026-09-25T10:08:00Z</dcterms:modified>
  <cp:lastModifiedBy>Haider Rayan Boudjemeline</cp:lastModifiedBy>
  <cp:revision>1</cp:revision>
</cp:coreProperties>
</file>